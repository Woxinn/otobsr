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28800" windowHeight="12045"/>
  </bookViews>
  <sheets>
    <sheet name="Template" sheetId="1" r:id="rId1"/>
  </sheets>
  <definedNames>
    <definedName name="_xlnm._FilterDatabase" localSheetId="0" hidden="1">Template!$A$1:$A$1</definedName>
  </definedNames>
  <calcPr calcId="152511"/>
</workbook>
</file>

<file path=xl/calcChain.xml><?xml version="1.0" encoding="utf-8"?>
<calcChain xmlns="http://schemas.openxmlformats.org/spreadsheetml/2006/main">
  <c r="C263" i="1" l="1"/>
  <c r="C262" i="1"/>
  <c r="C261" i="1"/>
  <c r="C260" i="1"/>
  <c r="C259" i="1"/>
  <c r="C258" i="1" l="1"/>
  <c r="C257" i="1"/>
  <c r="C256" i="1"/>
  <c r="C255" i="1"/>
  <c r="D26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" i="1"/>
</calcChain>
</file>

<file path=xl/sharedStrings.xml><?xml version="1.0" encoding="utf-8"?>
<sst xmlns="http://schemas.openxmlformats.org/spreadsheetml/2006/main" count="285" uniqueCount="285">
  <si>
    <t>quantity</t>
  </si>
  <si>
    <t>unit_price</t>
  </si>
  <si>
    <t>total_amount</t>
  </si>
  <si>
    <t>net_weight_kg</t>
  </si>
  <si>
    <t>gross_weight_kg</t>
  </si>
  <si>
    <t>notes</t>
  </si>
  <si>
    <t>code</t>
  </si>
  <si>
    <t>RXB-CVB-X9.5-625-La-m</t>
  </si>
  <si>
    <t>RXB-CVB-X9.5-650-La-m</t>
  </si>
  <si>
    <t>RXB-CVB-X9.5-675-La-m</t>
  </si>
  <si>
    <t>RXB-CVB-X9.5-683-La-m</t>
  </si>
  <si>
    <t>RXB-CVB-X9.5-725-La-m</t>
  </si>
  <si>
    <t>RXB-CVB-X9.5-750-La-m</t>
  </si>
  <si>
    <t>RXB-CVB-X9.5-775-La-m</t>
  </si>
  <si>
    <t>RXB-CVB-X9.5-800-La-m</t>
  </si>
  <si>
    <t>RXB-CVB-X9.5-813-La-m</t>
  </si>
  <si>
    <t>RXB-CVB-X9.5-825-La-m</t>
  </si>
  <si>
    <t>RXB-CVB-X9.5-850-La-m</t>
  </si>
  <si>
    <t>RXB-CVB-X9.5-858-La-m</t>
  </si>
  <si>
    <t>RXB-CVB-X9.5-875-La-m</t>
  </si>
  <si>
    <t>RXB-CVB-X9.5-900-La-m</t>
  </si>
  <si>
    <t>RXB-CVB-X9.5-925-La-m</t>
  </si>
  <si>
    <t>RXB-CVB-X9.5-950-La-m</t>
  </si>
  <si>
    <t>RXB-CVB-X9.5-975-La-m</t>
  </si>
  <si>
    <t>RXB-CVB-X9.5-1000-La-m</t>
  </si>
  <si>
    <t>RXB-CVB-X9.5-1025-La-m</t>
  </si>
  <si>
    <t>RXB-CVB-X9.5-1050-La-m</t>
  </si>
  <si>
    <t>RXB-CVB-X9.5-1075-La-m</t>
  </si>
  <si>
    <t>RXB-CVB-X9.5-1100-La-m</t>
  </si>
  <si>
    <t>RXB-CVB-X9.5-1125-La-m</t>
  </si>
  <si>
    <t>RXB-CVB-X9.5-1143-La-m</t>
  </si>
  <si>
    <t>RXB-CVB-X9.5-1145-La-m</t>
  </si>
  <si>
    <t>RXB-CVB-X9.5-1150-La-m</t>
  </si>
  <si>
    <t>RXB-CVB-X9.5-1175-La-m</t>
  </si>
  <si>
    <t>RXB-CVB-X9.5-1200-La-m</t>
  </si>
  <si>
    <t>RXB-CVB-X9.5-1225-La-m</t>
  </si>
  <si>
    <t>RXB-CVB-X9.5-1250-La-m</t>
  </si>
  <si>
    <t>RXB-CVB-X9.5-1275-La-m</t>
  </si>
  <si>
    <t>RXB-CVB-X9.5-1300-La-m</t>
  </si>
  <si>
    <t>RXB-CVB-X9.5-1325-La-m</t>
  </si>
  <si>
    <t>RXB-CVB-X9.5-1350-La-m</t>
  </si>
  <si>
    <t>RXB-CVB-X9.5-1375-La-m</t>
  </si>
  <si>
    <t>RXB-CVB-X9.5-1400-La-m</t>
  </si>
  <si>
    <t>RXB-CVB-X9.5-1425-La-m</t>
  </si>
  <si>
    <t>RXB-CVB-X9.5-1450-La-m</t>
  </si>
  <si>
    <t>RXB-CVB-X9.5-1475-La-m</t>
  </si>
  <si>
    <t>RXB-CVB-X9.5-1500-La-m</t>
  </si>
  <si>
    <t>RXB-CVB-X9.5-1525-La-m</t>
  </si>
  <si>
    <t>RXB-CVB-X9.5-1550-La-m</t>
  </si>
  <si>
    <t>RXB-CVB-X9.5-1575-La-m</t>
  </si>
  <si>
    <t>RXB-CVB-X9.5-1600-La-m</t>
  </si>
  <si>
    <t>RXB-CVB-X9.5-1625-La-m</t>
  </si>
  <si>
    <t>RXB-CVB-X9.5-1650-La-m</t>
  </si>
  <si>
    <t>RXB-CVB-X9.5-1675-La-m</t>
  </si>
  <si>
    <t>RXB-CVB-X9.5-1700-La-m</t>
  </si>
  <si>
    <t>RXB-CVB-X9.5-1725-La-m</t>
  </si>
  <si>
    <t>RXB-CVB-X9.5-1850-La-m</t>
  </si>
  <si>
    <t>RXB-CVB-X12.5-600-La-m</t>
  </si>
  <si>
    <t>RXB-CVB-X12.5-650-La-m</t>
  </si>
  <si>
    <t>RXB-CVB-X12.5-725-La-m</t>
  </si>
  <si>
    <t>RXB-CVB-X12.5-750-La-m</t>
  </si>
  <si>
    <t>RXB-CVB-X12.5-775-La-m</t>
  </si>
  <si>
    <t>RXB-CVB-X12.5-800-La-m</t>
  </si>
  <si>
    <t>RXB-CVB-X12.5-825-La-m</t>
  </si>
  <si>
    <t>RXB-CVB-X12.5-850-La-m</t>
  </si>
  <si>
    <t>RXB-CVB-X12.5-875-La-m</t>
  </si>
  <si>
    <t>RXB-CVB-X12.5-900-La-m</t>
  </si>
  <si>
    <t>RXB-CVB-X12.5-925-La-m</t>
  </si>
  <si>
    <t>RXB-CVB-X12.5-950-La-m</t>
  </si>
  <si>
    <t>RXB-CVB-X12.5-975-La-m</t>
  </si>
  <si>
    <t>RXB-CVB-X12.5-1000-La-m</t>
  </si>
  <si>
    <t>RXB-CVB-X12.5-1025-La-m</t>
  </si>
  <si>
    <t>RXB-CVB-X12.5-1050-La-m</t>
  </si>
  <si>
    <t>RXB-CVB-X12.5-1075-La-m</t>
  </si>
  <si>
    <t>RXB-CVB-X12.5-1100-La-m</t>
  </si>
  <si>
    <t>RXB-CVB-X12.5-1125-La-m</t>
  </si>
  <si>
    <t>RXB-CVB-X12.5-1150-La-m</t>
  </si>
  <si>
    <t>RXB-CVB-X12.5-1175-La-m</t>
  </si>
  <si>
    <t>RXB-CVB-X12.5-1200-La-m</t>
  </si>
  <si>
    <t>RXB-CVB-X12.5-1225-La-m</t>
  </si>
  <si>
    <t>RXB-CVB-X12.5-1250-La-m</t>
  </si>
  <si>
    <t>RXB-CVB-X12.5-1275-La-m</t>
  </si>
  <si>
    <t>RXB-CVB-X12.5-1300-La-m</t>
  </si>
  <si>
    <t>RXB-CVB-X12.5-1325-La-m</t>
  </si>
  <si>
    <t>RXB-CVB-X12.5-1350-La-m</t>
  </si>
  <si>
    <t>RXB-CVB-X12.5-1375-La-m</t>
  </si>
  <si>
    <t>RXB-CVB-X12.5-1400-La-m</t>
  </si>
  <si>
    <t>RXB-CVB-X12.5-1425-La-m</t>
  </si>
  <si>
    <t>RXB-CVB-X12.5-1450-La-m</t>
  </si>
  <si>
    <t>RXB-CVB-X12.5-1475-La-m</t>
  </si>
  <si>
    <t>RXB-CVB-X12.5-1500-La-m</t>
  </si>
  <si>
    <t>RXB-CVB-X12.5-1525-La-m</t>
  </si>
  <si>
    <t>RXB-CVB-X12.5-1550-La-m</t>
  </si>
  <si>
    <t>RXB-CVB-X12.5-1575-La-m</t>
  </si>
  <si>
    <t>RXB-CVB-X12.5-1600-La-m</t>
  </si>
  <si>
    <t>RXB-CVB-X12.5-1625-La-m</t>
  </si>
  <si>
    <t>RXB-CVB-X12.5-1650-La-m</t>
  </si>
  <si>
    <t>RXB-CVB-X12.5-1675-La-m</t>
  </si>
  <si>
    <t>RXB-CVB-X12.5-1700-La-m</t>
  </si>
  <si>
    <t>RXB-CVB-X12.5-1725-La-m</t>
  </si>
  <si>
    <t>RXB-CVB-X12.5-1775-La-m</t>
  </si>
  <si>
    <t>RXB-CVB-X12.5-1800-La-m</t>
  </si>
  <si>
    <t>RXB-CVB-X12.5-1825-La-m</t>
  </si>
  <si>
    <t>RXB-CVB-X12.5-1900-La-m</t>
  </si>
  <si>
    <t>RXB-CVB-X12.5-1950-La-m</t>
  </si>
  <si>
    <t>RXB-CVB-AX13-600-Li-m</t>
  </si>
  <si>
    <t>RXB-CVB-AX13-625-Li-m</t>
  </si>
  <si>
    <t>RXB-CVB-AX13-650-Li-m</t>
  </si>
  <si>
    <t>RXB-CVB-AX13-675-Li-m</t>
  </si>
  <si>
    <t>RXB-CVB-AX13-700-Li-m</t>
  </si>
  <si>
    <t>RXB-CVB-AX13-725-Li-m</t>
  </si>
  <si>
    <t>RXB-CVB-AX13-750-Li-m</t>
  </si>
  <si>
    <t>RXB-CVB-AX13-825-Li-m</t>
  </si>
  <si>
    <t>RXB-CVB-AX13-850-Li-m</t>
  </si>
  <si>
    <t>RXB-CVB-AX13-875-Li-m</t>
  </si>
  <si>
    <t>RXB-CVB-AX13-900-Li-m</t>
  </si>
  <si>
    <t>RXB-CVB-AX13-950-Li-m</t>
  </si>
  <si>
    <t>RXB-CVB-AX13-975-Li-m</t>
  </si>
  <si>
    <t>RXB-CVB-AX13-1000-Li-m</t>
  </si>
  <si>
    <t>RXB-CVB-AX13-1025-Li-m</t>
  </si>
  <si>
    <t>RXB-CVB-AX13-1050-Li-m</t>
  </si>
  <si>
    <t>RXB-CVB-AX13-1075-Li-m</t>
  </si>
  <si>
    <t>RXB-CVB-AX13-1100-Li-m</t>
  </si>
  <si>
    <t>RXB-CVB-AX13-1150-Li-m</t>
  </si>
  <si>
    <t>RXB-CVB-AX13-1175-Li-m</t>
  </si>
  <si>
    <t>RXB-CVB-AX13-1200-Li-m</t>
  </si>
  <si>
    <t>RXB-CVB-AX13-1225-Li-m</t>
  </si>
  <si>
    <t>RXB-CVB-AX13-1250-Li-m</t>
  </si>
  <si>
    <t>RXB-CVB-AX13-1275-Li-m</t>
  </si>
  <si>
    <t>RXB-CVB-AX13-1300-Li-m</t>
  </si>
  <si>
    <t>RXB-CVB-AX13-1325-Li-m</t>
  </si>
  <si>
    <t>RXB-CVB-AX13-1350-Li-m</t>
  </si>
  <si>
    <t>RXB-CVB-AX13-1375-Li-m</t>
  </si>
  <si>
    <t>RXB-CVB-AX13-1400-Li-m</t>
  </si>
  <si>
    <t>RXB-CVB-AX13-1425-Li-m</t>
  </si>
  <si>
    <t>RXB-CVB-AX13-1475-Li-m</t>
  </si>
  <si>
    <t>RXB-CVB-AX13-1500-Li-m</t>
  </si>
  <si>
    <t>RXB-CVB-AX13-1525-Li-m</t>
  </si>
  <si>
    <t>RXB-CVB-AX13-1550-Li-m</t>
  </si>
  <si>
    <t>RXB-CVB-AX13-1575-Li-m</t>
  </si>
  <si>
    <t>RXB-CVB-AX13-1600-Li-m</t>
  </si>
  <si>
    <t>RXB-CVB-AX13-1650-Li-m</t>
  </si>
  <si>
    <t>RXB-CVB-AX13-1675-Li-m</t>
  </si>
  <si>
    <t>RXB-CVB-AX13-1700-Li-m</t>
  </si>
  <si>
    <t>RXB-CVB-AX13-1750-Li-m</t>
  </si>
  <si>
    <t>RXB-CVB-AX13-1800-Li-m</t>
  </si>
  <si>
    <t>RXB-CVB-AX13-1900-Li-m</t>
  </si>
  <si>
    <t>RXB-CVB-AX13-1950-Li-m</t>
  </si>
  <si>
    <t>RXB-CVB-AX13-1975-Li-m</t>
  </si>
  <si>
    <t>RXB-CVB-BX17-600-Li-m</t>
  </si>
  <si>
    <t>RXB-CVB-BX17-625-Li-m</t>
  </si>
  <si>
    <t>RXB-CVB-BX17-725-Li-m</t>
  </si>
  <si>
    <t>RXB-CVB-BX17-750-Li-m</t>
  </si>
  <si>
    <t>RXB-CVB-BX17-775-Li-m</t>
  </si>
  <si>
    <t>RXB-CVB-BX17-850-Li-m</t>
  </si>
  <si>
    <t>RXB-CVB-BX17-875-Li-m</t>
  </si>
  <si>
    <t>RXB-CVB-BX17-925-Li-m</t>
  </si>
  <si>
    <t>RXB-CVB-BX17-950-Li-m</t>
  </si>
  <si>
    <t>RXB-CVB-BX17-1000-Li-m</t>
  </si>
  <si>
    <t>RXB-CVB-BX17-1025-Li-m</t>
  </si>
  <si>
    <t>RXB-CVB-BX17-1030-Li-m</t>
  </si>
  <si>
    <t>RXB-CVB-BX17-1050-Li-m</t>
  </si>
  <si>
    <t>RXB-CVB-BX17-1075-Li-m</t>
  </si>
  <si>
    <t>RXB-CVB-BX17-1125-Li-m</t>
  </si>
  <si>
    <t>RXB-CVB-BX17-1150-Li-m</t>
  </si>
  <si>
    <t>RXB-CVB-BX17-1175-Li-m</t>
  </si>
  <si>
    <t>RXB-CVB-BX17-1200-Li-m</t>
  </si>
  <si>
    <t>RXB-CVB-BX17-1225-Li-m</t>
  </si>
  <si>
    <t>RXB-CVB-BX17-1250-Li-m</t>
  </si>
  <si>
    <t>RXB-CVB-BX17-1275-Li-m</t>
  </si>
  <si>
    <t>RXB-CVB-BX17-1300-Li-m</t>
  </si>
  <si>
    <t>RXB-CVB-BX17-1325-Li-m</t>
  </si>
  <si>
    <t>RXB-CVB-BX17-1350-Li-m</t>
  </si>
  <si>
    <t>RXB-CVB-BX17-1375-Li-m</t>
  </si>
  <si>
    <t>RXB-CVB-BX17-1400-Li-m</t>
  </si>
  <si>
    <t>RXB-CVB-BX17-1425-Li-m</t>
  </si>
  <si>
    <t>RXB-CVB-BX17-1450-Li-m</t>
  </si>
  <si>
    <t>RXB-CVB-BX17-1475-Li-m</t>
  </si>
  <si>
    <t>RXB-CVB-BX17-1500-Li-m</t>
  </si>
  <si>
    <t>RXB-CVB-BX17-1525-Li-m</t>
  </si>
  <si>
    <t>RXB-CVB-BX17-1550-Li-m</t>
  </si>
  <si>
    <t>RXB-CVB-BX17-1575-Li-m</t>
  </si>
  <si>
    <t>RXB-CVB-BX17-1600-Li-m</t>
  </si>
  <si>
    <t>RXB-CVB-BX17-1625-Li-m</t>
  </si>
  <si>
    <t>RXB-CVB-BX17-1650-Li-m</t>
  </si>
  <si>
    <t>RXB-CVB-BX17-1675-Li-m</t>
  </si>
  <si>
    <t>RXB-CVB-BX17-1700-Li-m</t>
  </si>
  <si>
    <t>RXB-CVB-BX17-1750-Li-m</t>
  </si>
  <si>
    <t>RXB-CVB-BX17-1775-Li-m</t>
  </si>
  <si>
    <t>RXB-CVB-BX17-1800-Li-m</t>
  </si>
  <si>
    <t>RXB-CVB-BX17-1850-Li-m</t>
  </si>
  <si>
    <t>RXB-CVB-BX17-1900-Li-m</t>
  </si>
  <si>
    <t>RXB-CVB-BX17-1950-Li-m</t>
  </si>
  <si>
    <t>RXB-CVB-BX17-1975-Li-m</t>
  </si>
  <si>
    <t>RXB-CVB-CX22-1100-Li-m</t>
  </si>
  <si>
    <t>RXB-CVB-CX22-1125-Li-m</t>
  </si>
  <si>
    <t>RXB-CVB-CX22-1150-Li-m</t>
  </si>
  <si>
    <t>RXB-CVB-CX22-1175-Li-m</t>
  </si>
  <si>
    <t>RXB-CVB-CX22-1200-Li-m</t>
  </si>
  <si>
    <t>RXB-CVB-CX22-1325-Li-m</t>
  </si>
  <si>
    <t>RXB-CVB-CX22-1450-Li-m</t>
  </si>
  <si>
    <t>RXB-CVB-CX22-1475-Li-m</t>
  </si>
  <si>
    <t>RXB-CVB-CX22-1500-Li-m</t>
  </si>
  <si>
    <t>RXB-CVB-CX22-1550-Li-m</t>
  </si>
  <si>
    <t>RXB-CVB-CX22-1575-Li-m</t>
  </si>
  <si>
    <t>RXB-CVB-CX22-1600-Li-m</t>
  </si>
  <si>
    <t>RXB-CVB-CX22-1650-Li-m</t>
  </si>
  <si>
    <t>RXB-CVB-CX22-1700-Li-m</t>
  </si>
  <si>
    <t>RXB-CVB-CX22-1775-Li-m</t>
  </si>
  <si>
    <t>RXB-CVB-CX22-1800-Li-m</t>
  </si>
  <si>
    <t>RXB-CVB-CX22-1850-Li-m</t>
  </si>
  <si>
    <t>RXB-CVB-CX22-1900-Li-m</t>
  </si>
  <si>
    <t>RXB-CVB-CX22-1950-Li-m</t>
  </si>
  <si>
    <t>RXB-CVB-XPB-1150-Lw-m</t>
  </si>
  <si>
    <t>RXB-CVB-XPB-1300-Lw-m</t>
  </si>
  <si>
    <t>RXB-CVB-XPB-1400-Lw-m</t>
  </si>
  <si>
    <t>RXB-CVB-XPB-1450-Lw-m</t>
  </si>
  <si>
    <t>RXB-CVB-XPB-1500-Lw-m</t>
  </si>
  <si>
    <t>RXB-CVB-XPB-1550-Lw-m</t>
  </si>
  <si>
    <t>RXB-CVB-XPB-1625-Lw-m</t>
  </si>
  <si>
    <t>RXB-CVB-XPB-1650-Lw-m</t>
  </si>
  <si>
    <t>RXB-CVB-XPB-1700-Lw-m</t>
  </si>
  <si>
    <t>RXB-CVB-XPB-1750-Lw-m</t>
  </si>
  <si>
    <t>RXB-CVB-XPB-1850-Lw-m</t>
  </si>
  <si>
    <t>RXB-CVB-XPB-1900-Lw-m</t>
  </si>
  <si>
    <t>RXB-CVB-XPB-1950-Lw-m</t>
  </si>
  <si>
    <t>RXB-CVB-XPC-1650-Lw-m</t>
  </si>
  <si>
    <t>RXB-CVB-XPC-1700-Lw-m</t>
  </si>
  <si>
    <t>RXB-CVB-XPC-1750-Lw-m</t>
  </si>
  <si>
    <t>RXB-CVB-XPC-1850-Lw-m</t>
  </si>
  <si>
    <t>RXB-CVB-XPC-1900-Lw-m</t>
  </si>
  <si>
    <t>RXB-CVB-XPC-1950-Lw-m</t>
  </si>
  <si>
    <t>RXB-CVB-VRT-14-7-1400-Li-m</t>
  </si>
  <si>
    <t>RXB-CVB-VRT-22-8-900-Li-m</t>
  </si>
  <si>
    <t>RXB-CVB-VRT-23-10-813-Li-m</t>
  </si>
  <si>
    <t>RXB-CVB-VRT-28-13-1500-Li-m</t>
  </si>
  <si>
    <t>RXB-CVB-VRT-28-13-1600-Li-m</t>
  </si>
  <si>
    <t>RXB-CVB-VRT-28-8-650-Li-m</t>
  </si>
  <si>
    <t>RXB-CVB-VRT-28-8-1180-Li-m</t>
  </si>
  <si>
    <t>RXB-CVB-VRT-30-10-655-Li-m</t>
  </si>
  <si>
    <t>RXB-CVB-VRT-30-10-665-Li-m</t>
  </si>
  <si>
    <t>RXB-CVB-VRT-30-10-1000-Li-m</t>
  </si>
  <si>
    <t>RXB-CVB-VRT-30-10-1125-Li-m</t>
  </si>
  <si>
    <t>RXB-CVB-VRT-30-10-1175-Li-m</t>
  </si>
  <si>
    <t>RXB-CVB-VRT-30-10-1200-Li-m</t>
  </si>
  <si>
    <t>RXB-CVB-VRT-32-10-750-Li-m</t>
  </si>
  <si>
    <t>RXB-CVB-VRT-32-10-790-Li-m</t>
  </si>
  <si>
    <t>RXB-CVB-VRT-32-10-1350-Li-m</t>
  </si>
  <si>
    <t>RXB-CVB-VRT-32-15-1640-Li-m</t>
  </si>
  <si>
    <t>RXB-CVB-VRT-32-18-950-Li-m</t>
  </si>
  <si>
    <t>RXB-CVB-VRT-32-18-1125-Li-m</t>
  </si>
  <si>
    <t>RXB-CVB-VRT-32-18-1500-Li-m</t>
  </si>
  <si>
    <t>RXB-CVB-VRT-36-10-1160-Li-m</t>
  </si>
  <si>
    <t>RXB-CVB-VRT-37-10-1700-Li-m</t>
  </si>
  <si>
    <t>RXB-CVB-VRT-41-13-1400-Li-m</t>
  </si>
  <si>
    <t>RXB-CVB-VRT-47-13-1120-Li-m</t>
  </si>
  <si>
    <t>RXB-CVB-VRT-50-13-1300-Li-m</t>
  </si>
  <si>
    <t>RXB-CVB-VRT-50-14-1400-Li-m</t>
  </si>
  <si>
    <t>RXB-CVB-VRT-52-18-1180-Li-m</t>
  </si>
  <si>
    <t>RXB-CVB-VRT-55-16-1950-Li-m</t>
  </si>
  <si>
    <t>RXB-BCVB-2RHAX-1155-La-m</t>
  </si>
  <si>
    <t>RXB-BCVB-2RHAX-1475-Li-m</t>
  </si>
  <si>
    <t>RXB-BCVB-3RHAX-1250-Li-m</t>
  </si>
  <si>
    <t>RXB-BCVB-3RHAX-1422-Li-m</t>
  </si>
  <si>
    <t>RXB-BCVB-3RHAX-1800-Li-m</t>
  </si>
  <si>
    <t>RXB-BCVB-3RHAX-1850-Li-m</t>
  </si>
  <si>
    <t>RXB-BCVB-3RXPA-1850-Lw-m</t>
  </si>
  <si>
    <t>RXB-BCVB-2RXPB-1650-Lw-m</t>
  </si>
  <si>
    <t>RXB-BCVB-2RXPB-1800-Lw-m</t>
  </si>
  <si>
    <t>RXB-BCVB-10R3VX-37.5-La-i</t>
  </si>
  <si>
    <t>RXB-BCVB-10R3VX-39.8-La-i</t>
  </si>
  <si>
    <t>RXB-BCVB-10R3VX-49.5-La-i</t>
  </si>
  <si>
    <t>RXB-BCVB-10R3VX-50.5-La-i</t>
  </si>
  <si>
    <t>RXB-BCVB-10R3VX-51-La-i</t>
  </si>
  <si>
    <t>RXB-BCVB-10R3VX-51.5-La-i</t>
  </si>
  <si>
    <t>RXB-BCVB-10R3VX-52-La-i</t>
  </si>
  <si>
    <t>RXB-BCVB-10R3VX-52.5-La-i</t>
  </si>
  <si>
    <t>RXB-BCVB-10R3VX-54.3-La-i</t>
  </si>
  <si>
    <t>RXB-BCVB-10R3VX-56-La-i</t>
  </si>
  <si>
    <t>RXB-BCVB-10R3VX-58.5-La-i</t>
  </si>
  <si>
    <t>RXB-BCVB-10R3VX-59-La-i</t>
  </si>
  <si>
    <t>RXB-BCVB-10R3VX-62-La-i</t>
  </si>
  <si>
    <t>RXB-BCVB-10R3VX-71-La-i</t>
  </si>
  <si>
    <t>RXB-BCVB-10R3VX-72.5-La-i</t>
  </si>
  <si>
    <t>RXB-BCVB-10R3VX-76.8-La-i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</si>
</sst>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">
    <xf numFmtId="0" fontId="0" fillId="0" borderId="0" xfId="0" applyNumberFormat="1"/>
    <xf numFmtId="164" fontId="0" fillId="0" borderId="0" xfId="0" applyNumberFormat="1"/>
    <xf numFmtId="0" fontId="2" fillId="0" borderId="0" xfId="1" applyFont="1" applyAlignment="1" applyProtection="1">
      <alignment horizontal="left" vertical="center"/>
      <protection locked="0"/>
    </xf>
    <xf numFmtId="3" fontId="2" fillId="0" borderId="0" xfId="1" applyNumberFormat="1" applyFont="1" applyAlignment="1">
      <alignment horizontal="right" vertical="center"/>
    </xf>
  </cellXfs>
  <cellStyles count="3">
    <cellStyle name="Comma 2" xfId="2"/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"/>
  <sheetViews>
    <sheetView tabSelected="1" topLeftCell="A232" workbookViewId="0">
      <selection activeCell="D280" sqref="D280"/>
    </sheetView>
  </sheetViews>
  <sheetFormatPr defaultRowHeight="15.75" x14ac:dyDescent="0.25"/>
  <cols>
    <col min="1" max="1" width="24.75" bestFit="1" customWidth="1"/>
    <col min="8" max="8" width="9" style="1"/>
  </cols>
  <sheetData>
    <row r="1" spans="1:9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/>
      <c r="I1" s="1"/>
    </row>
    <row r="2" spans="1:9" x14ac:dyDescent="0.25">
      <c r="A2" s="2" t="s">
        <v>7</v>
      </c>
      <c r="B2" s="3">
        <v>105</v>
      </c>
      <c r="C2">
        <v>0.27500000000000002</v>
      </c>
      <c r="D2">
        <f>C2*B2</f>
        <v>28.875000000000004</v>
      </c>
      <c r="H2"/>
      <c r="I2" s="1"/>
    </row>
    <row r="3" spans="1:9" x14ac:dyDescent="0.25">
      <c r="A3" s="2" t="s">
        <v>8</v>
      </c>
      <c r="B3" s="3">
        <v>200</v>
      </c>
      <c r="C3">
        <v>0.28599999999999998</v>
      </c>
      <c r="D3">
        <f t="shared" ref="D3:D66" si="0">C3*B3</f>
        <v>57.199999999999996</v>
      </c>
    </row>
    <row r="4" spans="1:9" x14ac:dyDescent="0.25">
      <c r="A4" s="2" t="s">
        <v>9</v>
      </c>
      <c r="B4" s="3">
        <v>300</v>
      </c>
      <c r="C4">
        <v>0.29699999999999999</v>
      </c>
      <c r="D4">
        <f t="shared" si="0"/>
        <v>89.1</v>
      </c>
    </row>
    <row r="5" spans="1:9" x14ac:dyDescent="0.25">
      <c r="A5" s="2" t="s">
        <v>10</v>
      </c>
      <c r="B5" s="3">
        <v>256</v>
      </c>
      <c r="C5">
        <v>0.30052000000000001</v>
      </c>
      <c r="D5">
        <f t="shared" si="0"/>
        <v>76.933120000000002</v>
      </c>
    </row>
    <row r="6" spans="1:9" x14ac:dyDescent="0.25">
      <c r="A6" s="2" t="s">
        <v>11</v>
      </c>
      <c r="B6" s="3">
        <v>614</v>
      </c>
      <c r="C6">
        <v>0.31900000000000001</v>
      </c>
      <c r="D6">
        <f t="shared" si="0"/>
        <v>195.86600000000001</v>
      </c>
    </row>
    <row r="7" spans="1:9" x14ac:dyDescent="0.25">
      <c r="A7" s="2" t="s">
        <v>12</v>
      </c>
      <c r="B7" s="3">
        <v>612</v>
      </c>
      <c r="C7">
        <v>0.33</v>
      </c>
      <c r="D7">
        <f t="shared" si="0"/>
        <v>201.96</v>
      </c>
    </row>
    <row r="8" spans="1:9" x14ac:dyDescent="0.25">
      <c r="A8" s="2" t="s">
        <v>13</v>
      </c>
      <c r="B8" s="3">
        <v>409</v>
      </c>
      <c r="C8">
        <v>0.34100000000000003</v>
      </c>
      <c r="D8">
        <f t="shared" si="0"/>
        <v>139.46900000000002</v>
      </c>
    </row>
    <row r="9" spans="1:9" x14ac:dyDescent="0.25">
      <c r="A9" s="2" t="s">
        <v>14</v>
      </c>
      <c r="B9" s="3">
        <v>314</v>
      </c>
      <c r="C9">
        <v>0.35199999999999998</v>
      </c>
      <c r="D9">
        <f t="shared" si="0"/>
        <v>110.52799999999999</v>
      </c>
    </row>
    <row r="10" spans="1:9" x14ac:dyDescent="0.25">
      <c r="A10" s="2" t="s">
        <v>15</v>
      </c>
      <c r="B10" s="3">
        <v>3628</v>
      </c>
      <c r="C10">
        <v>0.35771999999999998</v>
      </c>
      <c r="D10">
        <f t="shared" si="0"/>
        <v>1297.80816</v>
      </c>
    </row>
    <row r="11" spans="1:9" x14ac:dyDescent="0.25">
      <c r="A11" s="2" t="s">
        <v>16</v>
      </c>
      <c r="B11" s="3">
        <v>416</v>
      </c>
      <c r="C11">
        <v>0.36299999999999999</v>
      </c>
      <c r="D11">
        <f t="shared" si="0"/>
        <v>151.00799999999998</v>
      </c>
    </row>
    <row r="12" spans="1:9" x14ac:dyDescent="0.25">
      <c r="A12" s="2" t="s">
        <v>17</v>
      </c>
      <c r="B12" s="3">
        <v>624</v>
      </c>
      <c r="C12">
        <v>0.374</v>
      </c>
      <c r="D12">
        <f t="shared" si="0"/>
        <v>233.376</v>
      </c>
    </row>
    <row r="13" spans="1:9" x14ac:dyDescent="0.25">
      <c r="A13" s="2" t="s">
        <v>18</v>
      </c>
      <c r="B13" s="3">
        <v>3597</v>
      </c>
      <c r="C13">
        <v>0.37752000000000002</v>
      </c>
      <c r="D13">
        <f t="shared" si="0"/>
        <v>1357.9394400000001</v>
      </c>
    </row>
    <row r="14" spans="1:9" x14ac:dyDescent="0.25">
      <c r="A14" s="2" t="s">
        <v>19</v>
      </c>
      <c r="B14" s="3">
        <v>713</v>
      </c>
      <c r="C14">
        <v>0.38500000000000001</v>
      </c>
      <c r="D14">
        <f t="shared" si="0"/>
        <v>274.505</v>
      </c>
    </row>
    <row r="15" spans="1:9" x14ac:dyDescent="0.25">
      <c r="A15" s="2" t="s">
        <v>20</v>
      </c>
      <c r="B15" s="3">
        <v>521</v>
      </c>
      <c r="C15">
        <v>0.39600000000000002</v>
      </c>
      <c r="D15">
        <f t="shared" si="0"/>
        <v>206.316</v>
      </c>
    </row>
    <row r="16" spans="1:9" x14ac:dyDescent="0.25">
      <c r="A16" s="2" t="s">
        <v>21</v>
      </c>
      <c r="B16" s="3">
        <v>3028</v>
      </c>
      <c r="C16">
        <v>0.40699999999999997</v>
      </c>
      <c r="D16">
        <f t="shared" si="0"/>
        <v>1232.396</v>
      </c>
    </row>
    <row r="17" spans="1:4" x14ac:dyDescent="0.25">
      <c r="A17" s="2" t="s">
        <v>22</v>
      </c>
      <c r="B17" s="3">
        <v>754</v>
      </c>
      <c r="C17">
        <v>0.41799999999999998</v>
      </c>
      <c r="D17">
        <f t="shared" si="0"/>
        <v>315.17199999999997</v>
      </c>
    </row>
    <row r="18" spans="1:4" x14ac:dyDescent="0.25">
      <c r="A18" s="2" t="s">
        <v>23</v>
      </c>
      <c r="B18" s="3">
        <v>726</v>
      </c>
      <c r="C18">
        <v>0.42899999999999999</v>
      </c>
      <c r="D18">
        <f t="shared" si="0"/>
        <v>311.45400000000001</v>
      </c>
    </row>
    <row r="19" spans="1:4" x14ac:dyDescent="0.25">
      <c r="A19" s="2" t="s">
        <v>24</v>
      </c>
      <c r="B19" s="3">
        <v>619</v>
      </c>
      <c r="C19">
        <v>0.44</v>
      </c>
      <c r="D19">
        <f t="shared" si="0"/>
        <v>272.36</v>
      </c>
    </row>
    <row r="20" spans="1:4" x14ac:dyDescent="0.25">
      <c r="A20" s="2" t="s">
        <v>25</v>
      </c>
      <c r="B20" s="3">
        <v>510</v>
      </c>
      <c r="C20">
        <v>0.45100000000000001</v>
      </c>
      <c r="D20">
        <f t="shared" si="0"/>
        <v>230.01000000000002</v>
      </c>
    </row>
    <row r="21" spans="1:4" x14ac:dyDescent="0.25">
      <c r="A21" s="2" t="s">
        <v>26</v>
      </c>
      <c r="B21" s="3">
        <v>540</v>
      </c>
      <c r="C21">
        <v>0.46200000000000002</v>
      </c>
      <c r="D21">
        <f t="shared" si="0"/>
        <v>249.48000000000002</v>
      </c>
    </row>
    <row r="22" spans="1:4" x14ac:dyDescent="0.25">
      <c r="A22" s="2" t="s">
        <v>27</v>
      </c>
      <c r="B22" s="3">
        <v>732</v>
      </c>
      <c r="C22">
        <v>0.47299999999999998</v>
      </c>
      <c r="D22">
        <f t="shared" si="0"/>
        <v>346.23599999999999</v>
      </c>
    </row>
    <row r="23" spans="1:4" x14ac:dyDescent="0.25">
      <c r="A23" s="2" t="s">
        <v>28</v>
      </c>
      <c r="B23" s="3">
        <v>626</v>
      </c>
      <c r="C23">
        <v>0.48399999999999999</v>
      </c>
      <c r="D23">
        <f t="shared" si="0"/>
        <v>302.98399999999998</v>
      </c>
    </row>
    <row r="24" spans="1:4" x14ac:dyDescent="0.25">
      <c r="A24" s="2" t="s">
        <v>29</v>
      </c>
      <c r="B24" s="3">
        <v>1744</v>
      </c>
      <c r="C24">
        <v>0.495</v>
      </c>
      <c r="D24">
        <f t="shared" si="0"/>
        <v>863.28</v>
      </c>
    </row>
    <row r="25" spans="1:4" x14ac:dyDescent="0.25">
      <c r="A25" s="2" t="s">
        <v>30</v>
      </c>
      <c r="B25" s="3">
        <v>5173</v>
      </c>
      <c r="C25">
        <v>0.50292000000000003</v>
      </c>
      <c r="D25">
        <f t="shared" si="0"/>
        <v>2601.6051600000001</v>
      </c>
    </row>
    <row r="26" spans="1:4" x14ac:dyDescent="0.25">
      <c r="A26" s="2" t="s">
        <v>31</v>
      </c>
      <c r="B26" s="3">
        <v>5623</v>
      </c>
      <c r="C26">
        <v>0.50380000000000003</v>
      </c>
      <c r="D26">
        <f t="shared" si="0"/>
        <v>2832.8674000000001</v>
      </c>
    </row>
    <row r="27" spans="1:4" x14ac:dyDescent="0.25">
      <c r="A27" s="2" t="s">
        <v>32</v>
      </c>
      <c r="B27" s="3">
        <v>5666</v>
      </c>
      <c r="C27">
        <v>0.50600000000000001</v>
      </c>
      <c r="D27">
        <f t="shared" si="0"/>
        <v>2866.9960000000001</v>
      </c>
    </row>
    <row r="28" spans="1:4" x14ac:dyDescent="0.25">
      <c r="A28" s="2" t="s">
        <v>33</v>
      </c>
      <c r="B28" s="3">
        <v>5217</v>
      </c>
      <c r="C28">
        <v>0.51700000000000002</v>
      </c>
      <c r="D28">
        <f t="shared" si="0"/>
        <v>2697.1890000000003</v>
      </c>
    </row>
    <row r="29" spans="1:4" x14ac:dyDescent="0.25">
      <c r="A29" s="2" t="s">
        <v>34</v>
      </c>
      <c r="B29" s="3">
        <v>4065</v>
      </c>
      <c r="C29">
        <v>0.52800000000000002</v>
      </c>
      <c r="D29">
        <f t="shared" si="0"/>
        <v>2146.3200000000002</v>
      </c>
    </row>
    <row r="30" spans="1:4" x14ac:dyDescent="0.25">
      <c r="A30" s="2" t="s">
        <v>35</v>
      </c>
      <c r="B30" s="3">
        <v>2602</v>
      </c>
      <c r="C30">
        <v>0.53900000000000003</v>
      </c>
      <c r="D30">
        <f t="shared" si="0"/>
        <v>1402.4780000000001</v>
      </c>
    </row>
    <row r="31" spans="1:4" x14ac:dyDescent="0.25">
      <c r="A31" s="2" t="s">
        <v>36</v>
      </c>
      <c r="B31" s="3">
        <v>4652</v>
      </c>
      <c r="C31">
        <v>0.55000000000000004</v>
      </c>
      <c r="D31">
        <f t="shared" si="0"/>
        <v>2558.6000000000004</v>
      </c>
    </row>
    <row r="32" spans="1:4" x14ac:dyDescent="0.25">
      <c r="A32" s="2" t="s">
        <v>37</v>
      </c>
      <c r="B32" s="3">
        <v>523</v>
      </c>
      <c r="C32">
        <v>0.56100000000000005</v>
      </c>
      <c r="D32">
        <f t="shared" si="0"/>
        <v>293.40300000000002</v>
      </c>
    </row>
    <row r="33" spans="1:4" x14ac:dyDescent="0.25">
      <c r="A33" s="2" t="s">
        <v>38</v>
      </c>
      <c r="B33" s="3">
        <v>834</v>
      </c>
      <c r="C33">
        <v>0.57199999999999995</v>
      </c>
      <c r="D33">
        <f t="shared" si="0"/>
        <v>477.04799999999994</v>
      </c>
    </row>
    <row r="34" spans="1:4" x14ac:dyDescent="0.25">
      <c r="A34" s="2" t="s">
        <v>39</v>
      </c>
      <c r="B34" s="3">
        <v>415</v>
      </c>
      <c r="C34">
        <v>0.58299999999999996</v>
      </c>
      <c r="D34">
        <f t="shared" si="0"/>
        <v>241.94499999999999</v>
      </c>
    </row>
    <row r="35" spans="1:4" x14ac:dyDescent="0.25">
      <c r="A35" s="2" t="s">
        <v>40</v>
      </c>
      <c r="B35" s="3">
        <v>314</v>
      </c>
      <c r="C35">
        <v>0.59399999999999997</v>
      </c>
      <c r="D35">
        <f t="shared" si="0"/>
        <v>186.51599999999999</v>
      </c>
    </row>
    <row r="36" spans="1:4" x14ac:dyDescent="0.25">
      <c r="A36" s="2" t="s">
        <v>41</v>
      </c>
      <c r="B36" s="3">
        <v>105</v>
      </c>
      <c r="C36">
        <v>0.60499999999999998</v>
      </c>
      <c r="D36">
        <f t="shared" si="0"/>
        <v>63.524999999999999</v>
      </c>
    </row>
    <row r="37" spans="1:4" x14ac:dyDescent="0.25">
      <c r="A37" s="2" t="s">
        <v>42</v>
      </c>
      <c r="B37" s="3">
        <v>314</v>
      </c>
      <c r="C37">
        <v>0.61599999999999999</v>
      </c>
      <c r="D37">
        <f t="shared" si="0"/>
        <v>193.42400000000001</v>
      </c>
    </row>
    <row r="38" spans="1:4" x14ac:dyDescent="0.25">
      <c r="A38" t="s">
        <v>43</v>
      </c>
      <c r="B38">
        <v>315</v>
      </c>
      <c r="C38">
        <v>0.627</v>
      </c>
      <c r="D38">
        <f t="shared" si="0"/>
        <v>197.505</v>
      </c>
    </row>
    <row r="39" spans="1:4" x14ac:dyDescent="0.25">
      <c r="A39" t="s">
        <v>44</v>
      </c>
      <c r="B39">
        <v>314</v>
      </c>
      <c r="C39">
        <v>0.63800000000000001</v>
      </c>
      <c r="D39">
        <f t="shared" si="0"/>
        <v>200.33199999999999</v>
      </c>
    </row>
    <row r="40" spans="1:4" x14ac:dyDescent="0.25">
      <c r="A40" t="s">
        <v>45</v>
      </c>
      <c r="B40">
        <v>102</v>
      </c>
      <c r="C40">
        <v>0.64900000000000002</v>
      </c>
      <c r="D40">
        <f t="shared" si="0"/>
        <v>66.198000000000008</v>
      </c>
    </row>
    <row r="41" spans="1:4" x14ac:dyDescent="0.25">
      <c r="A41" t="s">
        <v>46</v>
      </c>
      <c r="B41">
        <v>209</v>
      </c>
      <c r="C41">
        <v>0.66</v>
      </c>
      <c r="D41">
        <f t="shared" si="0"/>
        <v>137.94</v>
      </c>
    </row>
    <row r="42" spans="1:4" x14ac:dyDescent="0.25">
      <c r="A42" t="s">
        <v>47</v>
      </c>
      <c r="B42">
        <v>105</v>
      </c>
      <c r="C42">
        <v>0.67100000000000004</v>
      </c>
      <c r="D42">
        <f t="shared" si="0"/>
        <v>70.454999999999998</v>
      </c>
    </row>
    <row r="43" spans="1:4" x14ac:dyDescent="0.25">
      <c r="A43" t="s">
        <v>48</v>
      </c>
      <c r="B43">
        <v>210</v>
      </c>
      <c r="C43">
        <v>0.68200000000000005</v>
      </c>
      <c r="D43">
        <f t="shared" si="0"/>
        <v>143.22</v>
      </c>
    </row>
    <row r="44" spans="1:4" x14ac:dyDescent="0.25">
      <c r="A44" t="s">
        <v>49</v>
      </c>
      <c r="B44">
        <v>105</v>
      </c>
      <c r="C44">
        <v>0.69299999999999995</v>
      </c>
      <c r="D44">
        <f t="shared" si="0"/>
        <v>72.765000000000001</v>
      </c>
    </row>
    <row r="45" spans="1:4" x14ac:dyDescent="0.25">
      <c r="A45" t="s">
        <v>50</v>
      </c>
      <c r="B45">
        <v>209</v>
      </c>
      <c r="C45">
        <v>0.70399999999999996</v>
      </c>
      <c r="D45">
        <f t="shared" si="0"/>
        <v>147.136</v>
      </c>
    </row>
    <row r="46" spans="1:4" x14ac:dyDescent="0.25">
      <c r="A46" t="s">
        <v>51</v>
      </c>
      <c r="B46">
        <v>105</v>
      </c>
      <c r="C46">
        <v>0.71499999999999997</v>
      </c>
      <c r="D46">
        <f t="shared" si="0"/>
        <v>75.075000000000003</v>
      </c>
    </row>
    <row r="47" spans="1:4" x14ac:dyDescent="0.25">
      <c r="A47" t="s">
        <v>52</v>
      </c>
      <c r="B47">
        <v>210</v>
      </c>
      <c r="C47">
        <v>0.72599999999999998</v>
      </c>
      <c r="D47">
        <f t="shared" si="0"/>
        <v>152.46</v>
      </c>
    </row>
    <row r="48" spans="1:4" x14ac:dyDescent="0.25">
      <c r="A48" t="s">
        <v>53</v>
      </c>
      <c r="B48">
        <v>105</v>
      </c>
      <c r="C48">
        <v>0.73699999999999999</v>
      </c>
      <c r="D48">
        <f t="shared" si="0"/>
        <v>77.385000000000005</v>
      </c>
    </row>
    <row r="49" spans="1:4" x14ac:dyDescent="0.25">
      <c r="A49" t="s">
        <v>54</v>
      </c>
      <c r="B49">
        <v>105</v>
      </c>
      <c r="C49">
        <v>0.748</v>
      </c>
      <c r="D49">
        <f t="shared" si="0"/>
        <v>78.540000000000006</v>
      </c>
    </row>
    <row r="50" spans="1:4" x14ac:dyDescent="0.25">
      <c r="A50" t="s">
        <v>55</v>
      </c>
      <c r="B50">
        <v>105</v>
      </c>
      <c r="C50">
        <v>0.75900000000000001</v>
      </c>
      <c r="D50">
        <f t="shared" si="0"/>
        <v>79.695000000000007</v>
      </c>
    </row>
    <row r="51" spans="1:4" x14ac:dyDescent="0.25">
      <c r="A51" t="s">
        <v>56</v>
      </c>
      <c r="B51">
        <v>104</v>
      </c>
      <c r="C51">
        <v>0.81399999999999995</v>
      </c>
      <c r="D51">
        <f t="shared" si="0"/>
        <v>84.655999999999992</v>
      </c>
    </row>
    <row r="52" spans="1:4" x14ac:dyDescent="0.25">
      <c r="A52" t="s">
        <v>57</v>
      </c>
      <c r="B52">
        <v>76</v>
      </c>
      <c r="C52">
        <v>0.34200000000000003</v>
      </c>
      <c r="D52">
        <f t="shared" si="0"/>
        <v>25.992000000000001</v>
      </c>
    </row>
    <row r="53" spans="1:4" x14ac:dyDescent="0.25">
      <c r="A53" t="s">
        <v>58</v>
      </c>
      <c r="B53">
        <v>79</v>
      </c>
      <c r="C53">
        <v>0.3705</v>
      </c>
      <c r="D53">
        <f t="shared" si="0"/>
        <v>29.269500000000001</v>
      </c>
    </row>
    <row r="54" spans="1:4" x14ac:dyDescent="0.25">
      <c r="A54" t="s">
        <v>59</v>
      </c>
      <c r="B54">
        <v>100</v>
      </c>
      <c r="C54">
        <v>0.41325000000000001</v>
      </c>
      <c r="D54">
        <f t="shared" si="0"/>
        <v>41.325000000000003</v>
      </c>
    </row>
    <row r="55" spans="1:4" x14ac:dyDescent="0.25">
      <c r="A55" t="s">
        <v>60</v>
      </c>
      <c r="B55">
        <v>319</v>
      </c>
      <c r="C55">
        <v>0.42749999999999999</v>
      </c>
      <c r="D55">
        <f t="shared" si="0"/>
        <v>136.3725</v>
      </c>
    </row>
    <row r="56" spans="1:4" x14ac:dyDescent="0.25">
      <c r="A56" t="s">
        <v>61</v>
      </c>
      <c r="B56">
        <v>319</v>
      </c>
      <c r="C56">
        <v>0.44174999999999998</v>
      </c>
      <c r="D56">
        <f t="shared" si="0"/>
        <v>140.91825</v>
      </c>
    </row>
    <row r="57" spans="1:4" x14ac:dyDescent="0.25">
      <c r="A57" t="s">
        <v>62</v>
      </c>
      <c r="B57">
        <v>399</v>
      </c>
      <c r="C57">
        <v>0.45600000000000002</v>
      </c>
      <c r="D57">
        <f t="shared" si="0"/>
        <v>181.94400000000002</v>
      </c>
    </row>
    <row r="58" spans="1:4" x14ac:dyDescent="0.25">
      <c r="A58" t="s">
        <v>63</v>
      </c>
      <c r="B58">
        <v>234</v>
      </c>
      <c r="C58">
        <v>0.47025</v>
      </c>
      <c r="D58">
        <f t="shared" si="0"/>
        <v>110.0385</v>
      </c>
    </row>
    <row r="59" spans="1:4" x14ac:dyDescent="0.25">
      <c r="A59" t="s">
        <v>64</v>
      </c>
      <c r="B59">
        <v>1589</v>
      </c>
      <c r="C59">
        <v>0.48449999999999999</v>
      </c>
      <c r="D59">
        <f t="shared" si="0"/>
        <v>769.87049999999999</v>
      </c>
    </row>
    <row r="60" spans="1:4" x14ac:dyDescent="0.25">
      <c r="A60" t="s">
        <v>65</v>
      </c>
      <c r="B60">
        <v>317</v>
      </c>
      <c r="C60">
        <v>0.49875000000000003</v>
      </c>
      <c r="D60">
        <f t="shared" si="0"/>
        <v>158.10375000000002</v>
      </c>
    </row>
    <row r="61" spans="1:4" x14ac:dyDescent="0.25">
      <c r="A61" t="s">
        <v>66</v>
      </c>
      <c r="B61">
        <v>631</v>
      </c>
      <c r="C61">
        <v>0.51300000000000001</v>
      </c>
      <c r="D61">
        <f t="shared" si="0"/>
        <v>323.70300000000003</v>
      </c>
    </row>
    <row r="62" spans="1:4" x14ac:dyDescent="0.25">
      <c r="A62" t="s">
        <v>67</v>
      </c>
      <c r="B62">
        <v>640</v>
      </c>
      <c r="C62">
        <v>0.52725</v>
      </c>
      <c r="D62">
        <f t="shared" si="0"/>
        <v>337.44</v>
      </c>
    </row>
    <row r="63" spans="1:4" x14ac:dyDescent="0.25">
      <c r="A63" t="s">
        <v>68</v>
      </c>
      <c r="B63">
        <v>875</v>
      </c>
      <c r="C63">
        <v>0.54149999999999998</v>
      </c>
      <c r="D63">
        <f t="shared" si="0"/>
        <v>473.8125</v>
      </c>
    </row>
    <row r="64" spans="1:4" x14ac:dyDescent="0.25">
      <c r="A64" t="s">
        <v>69</v>
      </c>
      <c r="B64">
        <v>876</v>
      </c>
      <c r="C64">
        <v>0.55574999999999997</v>
      </c>
      <c r="D64">
        <f t="shared" si="0"/>
        <v>486.83699999999999</v>
      </c>
    </row>
    <row r="65" spans="1:4" x14ac:dyDescent="0.25">
      <c r="A65" t="s">
        <v>70</v>
      </c>
      <c r="B65">
        <v>940</v>
      </c>
      <c r="C65">
        <v>0.56999999999999995</v>
      </c>
      <c r="D65">
        <f t="shared" si="0"/>
        <v>535.79999999999995</v>
      </c>
    </row>
    <row r="66" spans="1:4" x14ac:dyDescent="0.25">
      <c r="A66" t="s">
        <v>71</v>
      </c>
      <c r="B66">
        <v>558</v>
      </c>
      <c r="C66">
        <v>0.58425000000000005</v>
      </c>
      <c r="D66">
        <f t="shared" si="0"/>
        <v>326.01150000000001</v>
      </c>
    </row>
    <row r="67" spans="1:4" x14ac:dyDescent="0.25">
      <c r="A67" t="s">
        <v>72</v>
      </c>
      <c r="B67">
        <v>635</v>
      </c>
      <c r="C67">
        <v>0.59850000000000003</v>
      </c>
      <c r="D67">
        <f t="shared" ref="D67:D130" si="1">C67*B67</f>
        <v>380.04750000000001</v>
      </c>
    </row>
    <row r="68" spans="1:4" x14ac:dyDescent="0.25">
      <c r="A68" t="s">
        <v>73</v>
      </c>
      <c r="B68">
        <v>643</v>
      </c>
      <c r="C68">
        <v>0.61275000000000002</v>
      </c>
      <c r="D68">
        <f t="shared" si="1"/>
        <v>393.99824999999998</v>
      </c>
    </row>
    <row r="69" spans="1:4" x14ac:dyDescent="0.25">
      <c r="A69" t="s">
        <v>74</v>
      </c>
      <c r="B69">
        <v>872</v>
      </c>
      <c r="C69">
        <v>0.627</v>
      </c>
      <c r="D69">
        <f t="shared" si="1"/>
        <v>546.74400000000003</v>
      </c>
    </row>
    <row r="70" spans="1:4" x14ac:dyDescent="0.25">
      <c r="A70" t="s">
        <v>75</v>
      </c>
      <c r="B70">
        <v>363</v>
      </c>
      <c r="C70">
        <v>0.64124999999999999</v>
      </c>
      <c r="D70">
        <f t="shared" si="1"/>
        <v>232.77375000000001</v>
      </c>
    </row>
    <row r="71" spans="1:4" x14ac:dyDescent="0.25">
      <c r="A71" t="s">
        <v>76</v>
      </c>
      <c r="B71">
        <v>1105</v>
      </c>
      <c r="C71">
        <v>0.65549999999999997</v>
      </c>
      <c r="D71">
        <f t="shared" si="1"/>
        <v>724.32749999999999</v>
      </c>
    </row>
    <row r="72" spans="1:4" x14ac:dyDescent="0.25">
      <c r="A72" t="s">
        <v>77</v>
      </c>
      <c r="B72">
        <v>793</v>
      </c>
      <c r="C72">
        <v>0.66974999999999996</v>
      </c>
      <c r="D72">
        <f t="shared" si="1"/>
        <v>531.11174999999992</v>
      </c>
    </row>
    <row r="73" spans="1:4" x14ac:dyDescent="0.25">
      <c r="A73" t="s">
        <v>78</v>
      </c>
      <c r="B73">
        <v>318</v>
      </c>
      <c r="C73">
        <v>0.68400000000000005</v>
      </c>
      <c r="D73">
        <f t="shared" si="1"/>
        <v>217.51200000000003</v>
      </c>
    </row>
    <row r="74" spans="1:4" x14ac:dyDescent="0.25">
      <c r="A74" t="s">
        <v>79</v>
      </c>
      <c r="B74">
        <v>479</v>
      </c>
      <c r="C74">
        <v>0.69825000000000004</v>
      </c>
      <c r="D74">
        <f t="shared" si="1"/>
        <v>334.46174999999999</v>
      </c>
    </row>
    <row r="75" spans="1:4" x14ac:dyDescent="0.25">
      <c r="A75" t="s">
        <v>80</v>
      </c>
      <c r="B75">
        <v>479</v>
      </c>
      <c r="C75">
        <v>0.71250000000000002</v>
      </c>
      <c r="D75">
        <f t="shared" si="1"/>
        <v>341.28750000000002</v>
      </c>
    </row>
    <row r="76" spans="1:4" x14ac:dyDescent="0.25">
      <c r="A76" t="s">
        <v>81</v>
      </c>
      <c r="B76">
        <v>560</v>
      </c>
      <c r="C76">
        <v>0.72675000000000001</v>
      </c>
      <c r="D76">
        <f t="shared" si="1"/>
        <v>406.98</v>
      </c>
    </row>
    <row r="77" spans="1:4" x14ac:dyDescent="0.25">
      <c r="A77" t="s">
        <v>82</v>
      </c>
      <c r="B77">
        <v>239</v>
      </c>
      <c r="C77">
        <v>0.74099999999999999</v>
      </c>
      <c r="D77">
        <f t="shared" si="1"/>
        <v>177.09899999999999</v>
      </c>
    </row>
    <row r="78" spans="1:4" x14ac:dyDescent="0.25">
      <c r="A78" t="s">
        <v>83</v>
      </c>
      <c r="B78">
        <v>317</v>
      </c>
      <c r="C78">
        <v>0.75524999999999998</v>
      </c>
      <c r="D78">
        <f t="shared" si="1"/>
        <v>239.41424999999998</v>
      </c>
    </row>
    <row r="79" spans="1:4" x14ac:dyDescent="0.25">
      <c r="A79" t="s">
        <v>84</v>
      </c>
      <c r="B79">
        <v>796</v>
      </c>
      <c r="C79">
        <v>0.76949999999999996</v>
      </c>
      <c r="D79">
        <f t="shared" si="1"/>
        <v>612.52199999999993</v>
      </c>
    </row>
    <row r="80" spans="1:4" x14ac:dyDescent="0.25">
      <c r="A80" t="s">
        <v>85</v>
      </c>
      <c r="B80">
        <v>797</v>
      </c>
      <c r="C80">
        <v>0.78374999999999995</v>
      </c>
      <c r="D80">
        <f t="shared" si="1"/>
        <v>624.64874999999995</v>
      </c>
    </row>
    <row r="81" spans="1:4" x14ac:dyDescent="0.25">
      <c r="A81" t="s">
        <v>86</v>
      </c>
      <c r="B81">
        <v>720</v>
      </c>
      <c r="C81">
        <v>0.79800000000000004</v>
      </c>
      <c r="D81">
        <f t="shared" si="1"/>
        <v>574.56000000000006</v>
      </c>
    </row>
    <row r="82" spans="1:4" x14ac:dyDescent="0.25">
      <c r="A82" t="s">
        <v>87</v>
      </c>
      <c r="B82">
        <v>790</v>
      </c>
      <c r="C82">
        <v>0.81225000000000003</v>
      </c>
      <c r="D82">
        <f t="shared" si="1"/>
        <v>641.67750000000001</v>
      </c>
    </row>
    <row r="83" spans="1:4" x14ac:dyDescent="0.25">
      <c r="A83" t="s">
        <v>88</v>
      </c>
      <c r="B83">
        <v>318</v>
      </c>
      <c r="C83">
        <v>0.82650000000000001</v>
      </c>
      <c r="D83">
        <f t="shared" si="1"/>
        <v>262.827</v>
      </c>
    </row>
    <row r="84" spans="1:4" x14ac:dyDescent="0.25">
      <c r="A84" t="s">
        <v>89</v>
      </c>
      <c r="B84">
        <v>396</v>
      </c>
      <c r="C84">
        <v>0.84075</v>
      </c>
      <c r="D84">
        <f t="shared" si="1"/>
        <v>332.93700000000001</v>
      </c>
    </row>
    <row r="85" spans="1:4" x14ac:dyDescent="0.25">
      <c r="A85" t="s">
        <v>90</v>
      </c>
      <c r="B85">
        <v>392</v>
      </c>
      <c r="C85">
        <v>0.85499999999999998</v>
      </c>
      <c r="D85">
        <f t="shared" si="1"/>
        <v>335.15999999999997</v>
      </c>
    </row>
    <row r="86" spans="1:4" x14ac:dyDescent="0.25">
      <c r="A86" t="s">
        <v>91</v>
      </c>
      <c r="B86">
        <v>464</v>
      </c>
      <c r="C86">
        <v>0.86924999999999997</v>
      </c>
      <c r="D86">
        <f t="shared" si="1"/>
        <v>403.33199999999999</v>
      </c>
    </row>
    <row r="87" spans="1:4" x14ac:dyDescent="0.25">
      <c r="A87" t="s">
        <v>92</v>
      </c>
      <c r="B87">
        <v>477</v>
      </c>
      <c r="C87">
        <v>0.88349999999999995</v>
      </c>
      <c r="D87">
        <f t="shared" si="1"/>
        <v>421.42949999999996</v>
      </c>
    </row>
    <row r="88" spans="1:4" x14ac:dyDescent="0.25">
      <c r="A88" t="s">
        <v>93</v>
      </c>
      <c r="B88">
        <v>80</v>
      </c>
      <c r="C88">
        <v>0.89775000000000005</v>
      </c>
      <c r="D88">
        <f t="shared" si="1"/>
        <v>71.820000000000007</v>
      </c>
    </row>
    <row r="89" spans="1:4" x14ac:dyDescent="0.25">
      <c r="A89" t="s">
        <v>94</v>
      </c>
      <c r="B89">
        <v>395</v>
      </c>
      <c r="C89">
        <v>0.91200000000000003</v>
      </c>
      <c r="D89">
        <f t="shared" si="1"/>
        <v>360.24</v>
      </c>
    </row>
    <row r="90" spans="1:4" x14ac:dyDescent="0.25">
      <c r="A90" t="s">
        <v>95</v>
      </c>
      <c r="B90">
        <v>239</v>
      </c>
      <c r="C90">
        <v>0.92625000000000002</v>
      </c>
      <c r="D90">
        <f t="shared" si="1"/>
        <v>221.37375</v>
      </c>
    </row>
    <row r="91" spans="1:4" x14ac:dyDescent="0.25">
      <c r="A91" t="s">
        <v>96</v>
      </c>
      <c r="B91">
        <v>320</v>
      </c>
      <c r="C91">
        <v>0.9405</v>
      </c>
      <c r="D91">
        <f t="shared" si="1"/>
        <v>300.95999999999998</v>
      </c>
    </row>
    <row r="92" spans="1:4" x14ac:dyDescent="0.25">
      <c r="A92" t="s">
        <v>97</v>
      </c>
      <c r="B92">
        <v>80</v>
      </c>
      <c r="C92">
        <v>0.95474999999999999</v>
      </c>
      <c r="D92">
        <f t="shared" si="1"/>
        <v>76.38</v>
      </c>
    </row>
    <row r="93" spans="1:4" x14ac:dyDescent="0.25">
      <c r="A93" t="s">
        <v>98</v>
      </c>
      <c r="B93">
        <v>80</v>
      </c>
      <c r="C93">
        <v>0.96899999999999997</v>
      </c>
      <c r="D93">
        <f t="shared" si="1"/>
        <v>77.52</v>
      </c>
    </row>
    <row r="94" spans="1:4" x14ac:dyDescent="0.25">
      <c r="A94" t="s">
        <v>99</v>
      </c>
      <c r="B94">
        <v>79</v>
      </c>
      <c r="C94">
        <v>0.98324999999999996</v>
      </c>
      <c r="D94">
        <f t="shared" si="1"/>
        <v>77.676749999999998</v>
      </c>
    </row>
    <row r="95" spans="1:4" x14ac:dyDescent="0.25">
      <c r="A95" t="s">
        <v>100</v>
      </c>
      <c r="B95">
        <v>79</v>
      </c>
      <c r="C95">
        <v>1.0117499999999999</v>
      </c>
      <c r="D95">
        <f t="shared" si="1"/>
        <v>79.928249999999991</v>
      </c>
    </row>
    <row r="96" spans="1:4" x14ac:dyDescent="0.25">
      <c r="A96" t="s">
        <v>101</v>
      </c>
      <c r="B96">
        <v>80</v>
      </c>
      <c r="C96">
        <v>1.026</v>
      </c>
      <c r="D96">
        <f t="shared" si="1"/>
        <v>82.08</v>
      </c>
    </row>
    <row r="97" spans="1:4" x14ac:dyDescent="0.25">
      <c r="A97" t="s">
        <v>102</v>
      </c>
      <c r="B97">
        <v>233</v>
      </c>
      <c r="C97">
        <v>1.0402499999999999</v>
      </c>
      <c r="D97">
        <f t="shared" si="1"/>
        <v>242.37824999999998</v>
      </c>
    </row>
    <row r="98" spans="1:4" x14ac:dyDescent="0.25">
      <c r="A98" t="s">
        <v>103</v>
      </c>
      <c r="B98">
        <v>75</v>
      </c>
      <c r="C98">
        <v>1.083</v>
      </c>
      <c r="D98">
        <f t="shared" si="1"/>
        <v>81.224999999999994</v>
      </c>
    </row>
    <row r="99" spans="1:4" x14ac:dyDescent="0.25">
      <c r="A99" t="s">
        <v>104</v>
      </c>
      <c r="B99">
        <v>168</v>
      </c>
      <c r="C99">
        <v>1.1114999999999999</v>
      </c>
      <c r="D99">
        <f t="shared" si="1"/>
        <v>186.732</v>
      </c>
    </row>
    <row r="100" spans="1:4" x14ac:dyDescent="0.25">
      <c r="A100" t="s">
        <v>105</v>
      </c>
      <c r="B100">
        <v>78</v>
      </c>
      <c r="C100">
        <v>0.33600000000000002</v>
      </c>
      <c r="D100">
        <f t="shared" si="1"/>
        <v>26.208000000000002</v>
      </c>
    </row>
    <row r="101" spans="1:4" x14ac:dyDescent="0.25">
      <c r="A101" t="s">
        <v>106</v>
      </c>
      <c r="B101">
        <v>78</v>
      </c>
      <c r="C101">
        <v>0.35</v>
      </c>
      <c r="D101">
        <f t="shared" si="1"/>
        <v>27.299999999999997</v>
      </c>
    </row>
    <row r="102" spans="1:4" x14ac:dyDescent="0.25">
      <c r="A102" t="s">
        <v>107</v>
      </c>
      <c r="B102">
        <v>311</v>
      </c>
      <c r="C102">
        <v>0.36399999999999999</v>
      </c>
      <c r="D102">
        <f t="shared" si="1"/>
        <v>113.20399999999999</v>
      </c>
    </row>
    <row r="103" spans="1:4" x14ac:dyDescent="0.25">
      <c r="A103" t="s">
        <v>108</v>
      </c>
      <c r="B103">
        <v>234</v>
      </c>
      <c r="C103">
        <v>0.378</v>
      </c>
      <c r="D103">
        <f t="shared" si="1"/>
        <v>88.451999999999998</v>
      </c>
    </row>
    <row r="104" spans="1:4" x14ac:dyDescent="0.25">
      <c r="A104" t="s">
        <v>109</v>
      </c>
      <c r="B104">
        <v>232</v>
      </c>
      <c r="C104">
        <v>0.39200000000000002</v>
      </c>
      <c r="D104">
        <f t="shared" si="1"/>
        <v>90.944000000000003</v>
      </c>
    </row>
    <row r="105" spans="1:4" x14ac:dyDescent="0.25">
      <c r="A105" t="s">
        <v>110</v>
      </c>
      <c r="B105">
        <v>391</v>
      </c>
      <c r="C105">
        <v>0.40600000000000003</v>
      </c>
      <c r="D105">
        <f t="shared" si="1"/>
        <v>158.74600000000001</v>
      </c>
    </row>
    <row r="106" spans="1:4" x14ac:dyDescent="0.25">
      <c r="A106" t="s">
        <v>111</v>
      </c>
      <c r="B106">
        <v>312</v>
      </c>
      <c r="C106">
        <v>0.42</v>
      </c>
      <c r="D106">
        <f t="shared" si="1"/>
        <v>131.04</v>
      </c>
    </row>
    <row r="107" spans="1:4" x14ac:dyDescent="0.25">
      <c r="A107" t="s">
        <v>112</v>
      </c>
      <c r="B107">
        <v>168</v>
      </c>
      <c r="C107">
        <v>0.46200000000000002</v>
      </c>
      <c r="D107">
        <f t="shared" si="1"/>
        <v>77.616</v>
      </c>
    </row>
    <row r="108" spans="1:4" x14ac:dyDescent="0.25">
      <c r="A108" t="s">
        <v>113</v>
      </c>
      <c r="B108">
        <v>549</v>
      </c>
      <c r="C108">
        <v>0.47599999999999998</v>
      </c>
      <c r="D108">
        <f t="shared" si="1"/>
        <v>261.32400000000001</v>
      </c>
    </row>
    <row r="109" spans="1:4" x14ac:dyDescent="0.25">
      <c r="A109" t="s">
        <v>114</v>
      </c>
      <c r="B109">
        <v>583</v>
      </c>
      <c r="C109">
        <v>0.49</v>
      </c>
      <c r="D109">
        <f t="shared" si="1"/>
        <v>285.67</v>
      </c>
    </row>
    <row r="110" spans="1:4" x14ac:dyDescent="0.25">
      <c r="A110" t="s">
        <v>115</v>
      </c>
      <c r="B110">
        <v>301</v>
      </c>
      <c r="C110">
        <v>0.504</v>
      </c>
      <c r="D110">
        <f t="shared" si="1"/>
        <v>151.70400000000001</v>
      </c>
    </row>
    <row r="111" spans="1:4" x14ac:dyDescent="0.25">
      <c r="A111" t="s">
        <v>116</v>
      </c>
      <c r="B111">
        <v>155</v>
      </c>
      <c r="C111">
        <v>0.53200000000000003</v>
      </c>
      <c r="D111">
        <f t="shared" si="1"/>
        <v>82.460000000000008</v>
      </c>
    </row>
    <row r="112" spans="1:4" x14ac:dyDescent="0.25">
      <c r="A112" t="s">
        <v>117</v>
      </c>
      <c r="B112">
        <v>387</v>
      </c>
      <c r="C112">
        <v>0.54600000000000004</v>
      </c>
      <c r="D112">
        <f t="shared" si="1"/>
        <v>211.30200000000002</v>
      </c>
    </row>
    <row r="113" spans="1:4" x14ac:dyDescent="0.25">
      <c r="A113" t="s">
        <v>118</v>
      </c>
      <c r="B113">
        <v>389</v>
      </c>
      <c r="C113">
        <v>0.56000000000000005</v>
      </c>
      <c r="D113">
        <f t="shared" si="1"/>
        <v>217.84000000000003</v>
      </c>
    </row>
    <row r="114" spans="1:4" x14ac:dyDescent="0.25">
      <c r="A114" t="s">
        <v>119</v>
      </c>
      <c r="B114">
        <v>388</v>
      </c>
      <c r="C114">
        <v>0.57399999999999995</v>
      </c>
      <c r="D114">
        <f t="shared" si="1"/>
        <v>222.71199999999999</v>
      </c>
    </row>
    <row r="115" spans="1:4" x14ac:dyDescent="0.25">
      <c r="A115" t="s">
        <v>120</v>
      </c>
      <c r="B115">
        <v>304</v>
      </c>
      <c r="C115">
        <v>0.58799999999999997</v>
      </c>
      <c r="D115">
        <f t="shared" si="1"/>
        <v>178.75199999999998</v>
      </c>
    </row>
    <row r="116" spans="1:4" x14ac:dyDescent="0.25">
      <c r="A116" t="s">
        <v>121</v>
      </c>
      <c r="B116">
        <v>78</v>
      </c>
      <c r="C116">
        <v>0.60199999999999998</v>
      </c>
      <c r="D116">
        <f t="shared" si="1"/>
        <v>46.955999999999996</v>
      </c>
    </row>
    <row r="117" spans="1:4" x14ac:dyDescent="0.25">
      <c r="A117" t="s">
        <v>122</v>
      </c>
      <c r="B117">
        <v>232</v>
      </c>
      <c r="C117">
        <v>0.61599999999999999</v>
      </c>
      <c r="D117">
        <f t="shared" si="1"/>
        <v>142.91200000000001</v>
      </c>
    </row>
    <row r="118" spans="1:4" x14ac:dyDescent="0.25">
      <c r="A118" t="s">
        <v>123</v>
      </c>
      <c r="B118">
        <v>390</v>
      </c>
      <c r="C118">
        <v>0.64400000000000002</v>
      </c>
      <c r="D118">
        <f t="shared" si="1"/>
        <v>251.16</v>
      </c>
    </row>
    <row r="119" spans="1:4" x14ac:dyDescent="0.25">
      <c r="A119" t="s">
        <v>124</v>
      </c>
      <c r="B119">
        <v>142</v>
      </c>
      <c r="C119">
        <v>0.65800000000000003</v>
      </c>
      <c r="D119">
        <f t="shared" si="1"/>
        <v>93.436000000000007</v>
      </c>
    </row>
    <row r="120" spans="1:4" x14ac:dyDescent="0.25">
      <c r="A120" t="s">
        <v>125</v>
      </c>
      <c r="B120">
        <v>458</v>
      </c>
      <c r="C120">
        <v>0.67200000000000004</v>
      </c>
      <c r="D120">
        <f t="shared" si="1"/>
        <v>307.77600000000001</v>
      </c>
    </row>
    <row r="121" spans="1:4" x14ac:dyDescent="0.25">
      <c r="A121" t="s">
        <v>126</v>
      </c>
      <c r="B121">
        <v>311</v>
      </c>
      <c r="C121">
        <v>0.68600000000000005</v>
      </c>
      <c r="D121">
        <f t="shared" si="1"/>
        <v>213.346</v>
      </c>
    </row>
    <row r="122" spans="1:4" x14ac:dyDescent="0.25">
      <c r="A122" t="s">
        <v>127</v>
      </c>
      <c r="B122">
        <v>3874</v>
      </c>
      <c r="C122">
        <v>0.7</v>
      </c>
      <c r="D122">
        <f t="shared" si="1"/>
        <v>2711.7999999999997</v>
      </c>
    </row>
    <row r="123" spans="1:4" x14ac:dyDescent="0.25">
      <c r="A123" t="s">
        <v>128</v>
      </c>
      <c r="B123">
        <v>312</v>
      </c>
      <c r="C123">
        <v>0.71399999999999997</v>
      </c>
      <c r="D123">
        <f t="shared" si="1"/>
        <v>222.768</v>
      </c>
    </row>
    <row r="124" spans="1:4" x14ac:dyDescent="0.25">
      <c r="A124" t="s">
        <v>129</v>
      </c>
      <c r="B124">
        <v>311</v>
      </c>
      <c r="C124">
        <v>0.72799999999999998</v>
      </c>
      <c r="D124">
        <f t="shared" si="1"/>
        <v>226.40799999999999</v>
      </c>
    </row>
    <row r="125" spans="1:4" x14ac:dyDescent="0.25">
      <c r="A125" t="s">
        <v>130</v>
      </c>
      <c r="B125">
        <v>465</v>
      </c>
      <c r="C125">
        <v>0.74199999999999999</v>
      </c>
      <c r="D125">
        <f t="shared" si="1"/>
        <v>345.03</v>
      </c>
    </row>
    <row r="126" spans="1:4" x14ac:dyDescent="0.25">
      <c r="A126" t="s">
        <v>131</v>
      </c>
      <c r="B126">
        <v>466</v>
      </c>
      <c r="C126">
        <v>0.75600000000000001</v>
      </c>
      <c r="D126">
        <f t="shared" si="1"/>
        <v>352.29599999999999</v>
      </c>
    </row>
    <row r="127" spans="1:4" x14ac:dyDescent="0.25">
      <c r="A127" t="s">
        <v>132</v>
      </c>
      <c r="B127">
        <v>232</v>
      </c>
      <c r="C127">
        <v>0.77</v>
      </c>
      <c r="D127">
        <f t="shared" si="1"/>
        <v>178.64000000000001</v>
      </c>
    </row>
    <row r="128" spans="1:4" x14ac:dyDescent="0.25">
      <c r="A128" t="s">
        <v>133</v>
      </c>
      <c r="B128">
        <v>78</v>
      </c>
      <c r="C128">
        <v>0.78400000000000003</v>
      </c>
      <c r="D128">
        <f t="shared" si="1"/>
        <v>61.152000000000001</v>
      </c>
    </row>
    <row r="129" spans="1:4" x14ac:dyDescent="0.25">
      <c r="A129" t="s">
        <v>134</v>
      </c>
      <c r="B129">
        <v>77</v>
      </c>
      <c r="C129">
        <v>0.79800000000000004</v>
      </c>
      <c r="D129">
        <f t="shared" si="1"/>
        <v>61.446000000000005</v>
      </c>
    </row>
    <row r="130" spans="1:4" x14ac:dyDescent="0.25">
      <c r="A130" t="s">
        <v>135</v>
      </c>
      <c r="B130">
        <v>155</v>
      </c>
      <c r="C130">
        <v>0.82599999999999996</v>
      </c>
      <c r="D130">
        <f t="shared" si="1"/>
        <v>128.03</v>
      </c>
    </row>
    <row r="131" spans="1:4" x14ac:dyDescent="0.25">
      <c r="A131" t="s">
        <v>136</v>
      </c>
      <c r="B131">
        <v>156</v>
      </c>
      <c r="C131">
        <v>0.84</v>
      </c>
      <c r="D131">
        <f t="shared" ref="D131:D194" si="2">C131*B131</f>
        <v>131.04</v>
      </c>
    </row>
    <row r="132" spans="1:4" x14ac:dyDescent="0.25">
      <c r="A132" t="s">
        <v>137</v>
      </c>
      <c r="B132">
        <v>234</v>
      </c>
      <c r="C132">
        <v>0.85399999999999998</v>
      </c>
      <c r="D132">
        <f t="shared" si="2"/>
        <v>199.83599999999998</v>
      </c>
    </row>
    <row r="133" spans="1:4" x14ac:dyDescent="0.25">
      <c r="A133" t="s">
        <v>138</v>
      </c>
      <c r="B133">
        <v>234</v>
      </c>
      <c r="C133">
        <v>0.86799999999999999</v>
      </c>
      <c r="D133">
        <f t="shared" si="2"/>
        <v>203.11199999999999</v>
      </c>
    </row>
    <row r="134" spans="1:4" x14ac:dyDescent="0.25">
      <c r="A134" t="s">
        <v>139</v>
      </c>
      <c r="B134">
        <v>80</v>
      </c>
      <c r="C134">
        <v>0.88200000000000001</v>
      </c>
      <c r="D134">
        <f t="shared" si="2"/>
        <v>70.56</v>
      </c>
    </row>
    <row r="135" spans="1:4" x14ac:dyDescent="0.25">
      <c r="A135" t="s">
        <v>140</v>
      </c>
      <c r="B135">
        <v>78</v>
      </c>
      <c r="C135">
        <v>0.89600000000000002</v>
      </c>
      <c r="D135">
        <f t="shared" si="2"/>
        <v>69.888000000000005</v>
      </c>
    </row>
    <row r="136" spans="1:4" x14ac:dyDescent="0.25">
      <c r="A136" t="s">
        <v>141</v>
      </c>
      <c r="B136">
        <v>77</v>
      </c>
      <c r="C136">
        <v>0.92400000000000004</v>
      </c>
      <c r="D136">
        <f t="shared" si="2"/>
        <v>71.14800000000001</v>
      </c>
    </row>
    <row r="137" spans="1:4" x14ac:dyDescent="0.25">
      <c r="A137" t="s">
        <v>142</v>
      </c>
      <c r="B137">
        <v>78</v>
      </c>
      <c r="C137">
        <v>0.93799999999999994</v>
      </c>
      <c r="D137">
        <f t="shared" si="2"/>
        <v>73.164000000000001</v>
      </c>
    </row>
    <row r="138" spans="1:4" x14ac:dyDescent="0.25">
      <c r="A138" t="s">
        <v>143</v>
      </c>
      <c r="B138">
        <v>155</v>
      </c>
      <c r="C138">
        <v>0.95199999999999996</v>
      </c>
      <c r="D138">
        <f t="shared" si="2"/>
        <v>147.56</v>
      </c>
    </row>
    <row r="139" spans="1:4" x14ac:dyDescent="0.25">
      <c r="A139" t="s">
        <v>144</v>
      </c>
      <c r="B139">
        <v>230</v>
      </c>
      <c r="C139">
        <v>0.98</v>
      </c>
      <c r="D139">
        <f t="shared" si="2"/>
        <v>225.4</v>
      </c>
    </row>
    <row r="140" spans="1:4" x14ac:dyDescent="0.25">
      <c r="A140" t="s">
        <v>145</v>
      </c>
      <c r="B140">
        <v>156</v>
      </c>
      <c r="C140">
        <v>1.008</v>
      </c>
      <c r="D140">
        <f t="shared" si="2"/>
        <v>157.24799999999999</v>
      </c>
    </row>
    <row r="141" spans="1:4" x14ac:dyDescent="0.25">
      <c r="A141" t="s">
        <v>146</v>
      </c>
      <c r="B141">
        <v>77</v>
      </c>
      <c r="C141">
        <v>1.0640000000000001</v>
      </c>
      <c r="D141">
        <f t="shared" si="2"/>
        <v>81.927999999999997</v>
      </c>
    </row>
    <row r="142" spans="1:4" x14ac:dyDescent="0.25">
      <c r="A142" t="s">
        <v>147</v>
      </c>
      <c r="B142">
        <v>169</v>
      </c>
      <c r="C142">
        <v>1.0920000000000001</v>
      </c>
      <c r="D142">
        <f t="shared" si="2"/>
        <v>184.548</v>
      </c>
    </row>
    <row r="143" spans="1:4" x14ac:dyDescent="0.25">
      <c r="A143" t="s">
        <v>148</v>
      </c>
      <c r="B143">
        <v>77</v>
      </c>
      <c r="C143">
        <v>1.1060000000000001</v>
      </c>
      <c r="D143">
        <f t="shared" si="2"/>
        <v>85.162000000000006</v>
      </c>
    </row>
    <row r="144" spans="1:4" x14ac:dyDescent="0.25">
      <c r="A144" t="s">
        <v>149</v>
      </c>
      <c r="B144">
        <v>38</v>
      </c>
      <c r="C144">
        <v>0.54</v>
      </c>
      <c r="D144">
        <f t="shared" si="2"/>
        <v>20.520000000000003</v>
      </c>
    </row>
    <row r="145" spans="1:4" x14ac:dyDescent="0.25">
      <c r="A145" t="s">
        <v>150</v>
      </c>
      <c r="B145">
        <v>59</v>
      </c>
      <c r="C145">
        <v>0.5625</v>
      </c>
      <c r="D145">
        <f t="shared" si="2"/>
        <v>33.1875</v>
      </c>
    </row>
    <row r="146" spans="1:4" x14ac:dyDescent="0.25">
      <c r="A146" t="s">
        <v>151</v>
      </c>
      <c r="B146">
        <v>58</v>
      </c>
      <c r="C146">
        <v>0.65249999999999997</v>
      </c>
      <c r="D146">
        <f t="shared" si="2"/>
        <v>37.844999999999999</v>
      </c>
    </row>
    <row r="147" spans="1:4" x14ac:dyDescent="0.25">
      <c r="A147" t="s">
        <v>152</v>
      </c>
      <c r="B147">
        <v>59</v>
      </c>
      <c r="C147">
        <v>0.67500000000000004</v>
      </c>
      <c r="D147">
        <f t="shared" si="2"/>
        <v>39.825000000000003</v>
      </c>
    </row>
    <row r="148" spans="1:4" x14ac:dyDescent="0.25">
      <c r="A148" t="s">
        <v>153</v>
      </c>
      <c r="B148">
        <v>59</v>
      </c>
      <c r="C148">
        <v>0.69750000000000001</v>
      </c>
      <c r="D148">
        <f t="shared" si="2"/>
        <v>41.152500000000003</v>
      </c>
    </row>
    <row r="149" spans="1:4" x14ac:dyDescent="0.25">
      <c r="A149" t="s">
        <v>154</v>
      </c>
      <c r="B149">
        <v>60</v>
      </c>
      <c r="C149">
        <v>0.76500000000000001</v>
      </c>
      <c r="D149">
        <f t="shared" si="2"/>
        <v>45.9</v>
      </c>
    </row>
    <row r="150" spans="1:4" x14ac:dyDescent="0.25">
      <c r="A150" t="s">
        <v>155</v>
      </c>
      <c r="B150">
        <v>178</v>
      </c>
      <c r="C150">
        <v>0.78749999999999998</v>
      </c>
      <c r="D150">
        <f t="shared" si="2"/>
        <v>140.17499999999998</v>
      </c>
    </row>
    <row r="151" spans="1:4" x14ac:dyDescent="0.25">
      <c r="A151" t="s">
        <v>156</v>
      </c>
      <c r="B151">
        <v>351</v>
      </c>
      <c r="C151">
        <v>0.83250000000000002</v>
      </c>
      <c r="D151">
        <f t="shared" si="2"/>
        <v>292.20749999999998</v>
      </c>
    </row>
    <row r="152" spans="1:4" x14ac:dyDescent="0.25">
      <c r="A152" t="s">
        <v>157</v>
      </c>
      <c r="B152">
        <v>59</v>
      </c>
      <c r="C152">
        <v>0.85499999999999998</v>
      </c>
      <c r="D152">
        <f t="shared" si="2"/>
        <v>50.445</v>
      </c>
    </row>
    <row r="153" spans="1:4" x14ac:dyDescent="0.25">
      <c r="A153" t="s">
        <v>158</v>
      </c>
      <c r="B153">
        <v>236</v>
      </c>
      <c r="C153">
        <v>0.9</v>
      </c>
      <c r="D153">
        <f t="shared" si="2"/>
        <v>212.4</v>
      </c>
    </row>
    <row r="154" spans="1:4" x14ac:dyDescent="0.25">
      <c r="A154" t="s">
        <v>159</v>
      </c>
      <c r="B154">
        <v>354</v>
      </c>
      <c r="C154">
        <v>0.92249999999999999</v>
      </c>
      <c r="D154">
        <f t="shared" si="2"/>
        <v>326.565</v>
      </c>
    </row>
    <row r="155" spans="1:4" x14ac:dyDescent="0.25">
      <c r="A155" t="s">
        <v>160</v>
      </c>
      <c r="B155">
        <v>59</v>
      </c>
      <c r="C155">
        <v>0.92700000000000005</v>
      </c>
      <c r="D155">
        <f t="shared" si="2"/>
        <v>54.693000000000005</v>
      </c>
    </row>
    <row r="156" spans="1:4" x14ac:dyDescent="0.25">
      <c r="A156" t="s">
        <v>161</v>
      </c>
      <c r="B156">
        <v>297</v>
      </c>
      <c r="C156">
        <v>0.94499999999999995</v>
      </c>
      <c r="D156">
        <f t="shared" si="2"/>
        <v>280.66499999999996</v>
      </c>
    </row>
    <row r="157" spans="1:4" x14ac:dyDescent="0.25">
      <c r="A157" t="s">
        <v>162</v>
      </c>
      <c r="B157">
        <v>1002</v>
      </c>
      <c r="C157">
        <v>0.96750000000000003</v>
      </c>
      <c r="D157">
        <f t="shared" si="2"/>
        <v>969.43500000000006</v>
      </c>
    </row>
    <row r="158" spans="1:4" x14ac:dyDescent="0.25">
      <c r="A158" t="s">
        <v>163</v>
      </c>
      <c r="B158">
        <v>234</v>
      </c>
      <c r="C158">
        <v>1.0125</v>
      </c>
      <c r="D158">
        <f t="shared" si="2"/>
        <v>236.92499999999998</v>
      </c>
    </row>
    <row r="159" spans="1:4" x14ac:dyDescent="0.25">
      <c r="A159" t="s">
        <v>164</v>
      </c>
      <c r="B159">
        <v>755</v>
      </c>
      <c r="C159">
        <v>1.0349999999999999</v>
      </c>
      <c r="D159">
        <f t="shared" si="2"/>
        <v>781.42499999999995</v>
      </c>
    </row>
    <row r="160" spans="1:4" x14ac:dyDescent="0.25">
      <c r="A160" t="s">
        <v>165</v>
      </c>
      <c r="B160">
        <v>117</v>
      </c>
      <c r="C160">
        <v>1.0575000000000001</v>
      </c>
      <c r="D160">
        <f t="shared" si="2"/>
        <v>123.72750000000001</v>
      </c>
    </row>
    <row r="161" spans="1:4" x14ac:dyDescent="0.25">
      <c r="A161" t="s">
        <v>166</v>
      </c>
      <c r="B161">
        <v>529</v>
      </c>
      <c r="C161">
        <v>1.08</v>
      </c>
      <c r="D161">
        <f t="shared" si="2"/>
        <v>571.32000000000005</v>
      </c>
    </row>
    <row r="162" spans="1:4" x14ac:dyDescent="0.25">
      <c r="A162" t="s">
        <v>167</v>
      </c>
      <c r="B162">
        <v>110</v>
      </c>
      <c r="C162">
        <v>1.1025</v>
      </c>
      <c r="D162">
        <f t="shared" si="2"/>
        <v>121.27500000000001</v>
      </c>
    </row>
    <row r="163" spans="1:4" x14ac:dyDescent="0.25">
      <c r="A163" t="s">
        <v>168</v>
      </c>
      <c r="B163">
        <v>590</v>
      </c>
      <c r="C163">
        <v>1.125</v>
      </c>
      <c r="D163">
        <f t="shared" si="2"/>
        <v>663.75</v>
      </c>
    </row>
    <row r="164" spans="1:4" x14ac:dyDescent="0.25">
      <c r="A164" t="s">
        <v>169</v>
      </c>
      <c r="B164">
        <v>996</v>
      </c>
      <c r="C164">
        <v>1.1475</v>
      </c>
      <c r="D164">
        <f t="shared" si="2"/>
        <v>1142.9099999999999</v>
      </c>
    </row>
    <row r="165" spans="1:4" x14ac:dyDescent="0.25">
      <c r="A165" t="s">
        <v>170</v>
      </c>
      <c r="B165">
        <v>118</v>
      </c>
      <c r="C165">
        <v>1.17</v>
      </c>
      <c r="D165">
        <f t="shared" si="2"/>
        <v>138.06</v>
      </c>
    </row>
    <row r="166" spans="1:4" x14ac:dyDescent="0.25">
      <c r="A166" t="s">
        <v>171</v>
      </c>
      <c r="B166">
        <v>180</v>
      </c>
      <c r="C166">
        <v>1.1924999999999999</v>
      </c>
      <c r="D166">
        <f t="shared" si="2"/>
        <v>214.64999999999998</v>
      </c>
    </row>
    <row r="167" spans="1:4" x14ac:dyDescent="0.25">
      <c r="A167" t="s">
        <v>172</v>
      </c>
      <c r="B167">
        <v>236</v>
      </c>
      <c r="C167">
        <v>1.2150000000000001</v>
      </c>
      <c r="D167">
        <f t="shared" si="2"/>
        <v>286.74</v>
      </c>
    </row>
    <row r="168" spans="1:4" x14ac:dyDescent="0.25">
      <c r="A168" t="s">
        <v>173</v>
      </c>
      <c r="B168">
        <v>119</v>
      </c>
      <c r="C168">
        <v>1.2375</v>
      </c>
      <c r="D168">
        <f t="shared" si="2"/>
        <v>147.26250000000002</v>
      </c>
    </row>
    <row r="169" spans="1:4" x14ac:dyDescent="0.25">
      <c r="A169" t="s">
        <v>174</v>
      </c>
      <c r="B169">
        <v>707</v>
      </c>
      <c r="C169">
        <v>1.26</v>
      </c>
      <c r="D169">
        <f t="shared" si="2"/>
        <v>890.82</v>
      </c>
    </row>
    <row r="170" spans="1:4" x14ac:dyDescent="0.25">
      <c r="A170" t="s">
        <v>175</v>
      </c>
      <c r="B170">
        <v>294</v>
      </c>
      <c r="C170">
        <v>1.2825</v>
      </c>
      <c r="D170">
        <f t="shared" si="2"/>
        <v>377.05500000000001</v>
      </c>
    </row>
    <row r="171" spans="1:4" x14ac:dyDescent="0.25">
      <c r="A171" t="s">
        <v>176</v>
      </c>
      <c r="B171">
        <v>704</v>
      </c>
      <c r="C171">
        <v>1.3049999999999999</v>
      </c>
      <c r="D171">
        <f t="shared" si="2"/>
        <v>918.71999999999991</v>
      </c>
    </row>
    <row r="172" spans="1:4" x14ac:dyDescent="0.25">
      <c r="A172" t="s">
        <v>177</v>
      </c>
      <c r="B172">
        <v>763</v>
      </c>
      <c r="C172">
        <v>1.3274999999999999</v>
      </c>
      <c r="D172">
        <f t="shared" si="2"/>
        <v>1012.8824999999999</v>
      </c>
    </row>
    <row r="173" spans="1:4" x14ac:dyDescent="0.25">
      <c r="A173" t="s">
        <v>178</v>
      </c>
      <c r="B173">
        <v>1424</v>
      </c>
      <c r="C173">
        <v>1.35</v>
      </c>
      <c r="D173">
        <f t="shared" si="2"/>
        <v>1922.4</v>
      </c>
    </row>
    <row r="174" spans="1:4" x14ac:dyDescent="0.25">
      <c r="A174" t="s">
        <v>179</v>
      </c>
      <c r="B174">
        <v>294</v>
      </c>
      <c r="C174">
        <v>1.3725000000000001</v>
      </c>
      <c r="D174">
        <f t="shared" si="2"/>
        <v>403.51500000000004</v>
      </c>
    </row>
    <row r="175" spans="1:4" x14ac:dyDescent="0.25">
      <c r="A175" t="s">
        <v>180</v>
      </c>
      <c r="B175">
        <v>591</v>
      </c>
      <c r="C175">
        <v>1.395</v>
      </c>
      <c r="D175">
        <f t="shared" si="2"/>
        <v>824.44500000000005</v>
      </c>
    </row>
    <row r="176" spans="1:4" x14ac:dyDescent="0.25">
      <c r="A176" t="s">
        <v>181</v>
      </c>
      <c r="B176">
        <v>648</v>
      </c>
      <c r="C176">
        <v>1.4175</v>
      </c>
      <c r="D176">
        <f t="shared" si="2"/>
        <v>918.54</v>
      </c>
    </row>
    <row r="177" spans="1:4" x14ac:dyDescent="0.25">
      <c r="A177" t="s">
        <v>182</v>
      </c>
      <c r="B177">
        <v>1866</v>
      </c>
      <c r="C177">
        <v>1.44</v>
      </c>
      <c r="D177">
        <f t="shared" si="2"/>
        <v>2687.04</v>
      </c>
    </row>
    <row r="178" spans="1:4" x14ac:dyDescent="0.25">
      <c r="A178" t="s">
        <v>183</v>
      </c>
      <c r="B178">
        <v>59</v>
      </c>
      <c r="C178">
        <v>1.4624999999999999</v>
      </c>
      <c r="D178">
        <f t="shared" si="2"/>
        <v>86.287499999999994</v>
      </c>
    </row>
    <row r="179" spans="1:4" x14ac:dyDescent="0.25">
      <c r="A179" t="s">
        <v>184</v>
      </c>
      <c r="B179">
        <v>597</v>
      </c>
      <c r="C179">
        <v>1.4850000000000001</v>
      </c>
      <c r="D179">
        <f t="shared" si="2"/>
        <v>886.54500000000007</v>
      </c>
    </row>
    <row r="180" spans="1:4" x14ac:dyDescent="0.25">
      <c r="A180" t="s">
        <v>185</v>
      </c>
      <c r="B180">
        <v>118</v>
      </c>
      <c r="C180">
        <v>1.5075000000000001</v>
      </c>
      <c r="D180">
        <f t="shared" si="2"/>
        <v>177.88500000000002</v>
      </c>
    </row>
    <row r="181" spans="1:4" x14ac:dyDescent="0.25">
      <c r="A181" t="s">
        <v>186</v>
      </c>
      <c r="B181">
        <v>655</v>
      </c>
      <c r="C181">
        <v>1.53</v>
      </c>
      <c r="D181">
        <f t="shared" si="2"/>
        <v>1002.15</v>
      </c>
    </row>
    <row r="182" spans="1:4" x14ac:dyDescent="0.25">
      <c r="A182" t="s">
        <v>187</v>
      </c>
      <c r="B182">
        <v>413</v>
      </c>
      <c r="C182">
        <v>1.575</v>
      </c>
      <c r="D182">
        <f t="shared" si="2"/>
        <v>650.47500000000002</v>
      </c>
    </row>
    <row r="183" spans="1:4" x14ac:dyDescent="0.25">
      <c r="A183" t="s">
        <v>188</v>
      </c>
      <c r="B183">
        <v>117</v>
      </c>
      <c r="C183">
        <v>1.5974999999999999</v>
      </c>
      <c r="D183">
        <f t="shared" si="2"/>
        <v>186.9075</v>
      </c>
    </row>
    <row r="184" spans="1:4" x14ac:dyDescent="0.25">
      <c r="A184" t="s">
        <v>189</v>
      </c>
      <c r="B184">
        <v>584</v>
      </c>
      <c r="C184">
        <v>1.62</v>
      </c>
      <c r="D184">
        <f t="shared" si="2"/>
        <v>946.08</v>
      </c>
    </row>
    <row r="185" spans="1:4" x14ac:dyDescent="0.25">
      <c r="A185" t="s">
        <v>190</v>
      </c>
      <c r="B185">
        <v>293</v>
      </c>
      <c r="C185">
        <v>1.665</v>
      </c>
      <c r="D185">
        <f t="shared" si="2"/>
        <v>487.84500000000003</v>
      </c>
    </row>
    <row r="186" spans="1:4" x14ac:dyDescent="0.25">
      <c r="A186" t="s">
        <v>191</v>
      </c>
      <c r="B186">
        <v>118</v>
      </c>
      <c r="C186">
        <v>1.71</v>
      </c>
      <c r="D186">
        <f t="shared" si="2"/>
        <v>201.78</v>
      </c>
    </row>
    <row r="187" spans="1:4" x14ac:dyDescent="0.25">
      <c r="A187" t="s">
        <v>192</v>
      </c>
      <c r="B187">
        <v>202</v>
      </c>
      <c r="C187">
        <v>1.7549999999999999</v>
      </c>
      <c r="D187">
        <f t="shared" si="2"/>
        <v>354.51</v>
      </c>
    </row>
    <row r="188" spans="1:4" x14ac:dyDescent="0.25">
      <c r="A188" t="s">
        <v>193</v>
      </c>
      <c r="B188">
        <v>59</v>
      </c>
      <c r="C188">
        <v>1.7775000000000001</v>
      </c>
      <c r="D188">
        <f t="shared" si="2"/>
        <v>104.8725</v>
      </c>
    </row>
    <row r="189" spans="1:4" x14ac:dyDescent="0.25">
      <c r="A189" t="s">
        <v>194</v>
      </c>
      <c r="B189">
        <v>46</v>
      </c>
      <c r="C189">
        <v>1.5674999999999999</v>
      </c>
      <c r="D189">
        <f t="shared" si="2"/>
        <v>72.10499999999999</v>
      </c>
    </row>
    <row r="190" spans="1:4" x14ac:dyDescent="0.25">
      <c r="A190" t="s">
        <v>195</v>
      </c>
      <c r="B190">
        <v>779</v>
      </c>
      <c r="C190">
        <v>1.6031249999999999</v>
      </c>
      <c r="D190">
        <f t="shared" si="2"/>
        <v>1248.8343749999999</v>
      </c>
    </row>
    <row r="191" spans="1:4" x14ac:dyDescent="0.25">
      <c r="A191" t="s">
        <v>196</v>
      </c>
      <c r="B191">
        <v>1597</v>
      </c>
      <c r="C191">
        <v>1.6387499999999999</v>
      </c>
      <c r="D191">
        <f t="shared" si="2"/>
        <v>2617.0837499999998</v>
      </c>
    </row>
    <row r="192" spans="1:4" x14ac:dyDescent="0.25">
      <c r="A192" t="s">
        <v>197</v>
      </c>
      <c r="B192">
        <v>226</v>
      </c>
      <c r="C192">
        <v>1.6743749999999999</v>
      </c>
      <c r="D192">
        <f t="shared" si="2"/>
        <v>378.40875</v>
      </c>
    </row>
    <row r="193" spans="1:4" x14ac:dyDescent="0.25">
      <c r="A193" t="s">
        <v>198</v>
      </c>
      <c r="B193">
        <v>92</v>
      </c>
      <c r="C193">
        <v>1.71</v>
      </c>
      <c r="D193">
        <f t="shared" si="2"/>
        <v>157.32</v>
      </c>
    </row>
    <row r="194" spans="1:4" x14ac:dyDescent="0.25">
      <c r="A194" t="s">
        <v>199</v>
      </c>
      <c r="B194">
        <v>45</v>
      </c>
      <c r="C194">
        <v>1.8881250000000001</v>
      </c>
      <c r="D194">
        <f t="shared" si="2"/>
        <v>84.965625000000003</v>
      </c>
    </row>
    <row r="195" spans="1:4" x14ac:dyDescent="0.25">
      <c r="A195" t="s">
        <v>200</v>
      </c>
      <c r="B195">
        <v>46</v>
      </c>
      <c r="C195">
        <v>2.0662500000000001</v>
      </c>
      <c r="D195">
        <f t="shared" ref="D195:D258" si="3">C195*B195</f>
        <v>95.047500000000014</v>
      </c>
    </row>
    <row r="196" spans="1:4" x14ac:dyDescent="0.25">
      <c r="A196" t="s">
        <v>201</v>
      </c>
      <c r="B196">
        <v>45</v>
      </c>
      <c r="C196">
        <v>2.1018750000000002</v>
      </c>
      <c r="D196">
        <f t="shared" si="3"/>
        <v>94.584375000000009</v>
      </c>
    </row>
    <row r="197" spans="1:4" x14ac:dyDescent="0.25">
      <c r="A197" t="s">
        <v>202</v>
      </c>
      <c r="B197">
        <v>46</v>
      </c>
      <c r="C197">
        <v>2.1375000000000002</v>
      </c>
      <c r="D197">
        <f t="shared" si="3"/>
        <v>98.325000000000003</v>
      </c>
    </row>
    <row r="198" spans="1:4" x14ac:dyDescent="0.25">
      <c r="A198" t="s">
        <v>203</v>
      </c>
      <c r="B198">
        <v>229</v>
      </c>
      <c r="C198">
        <v>2.2087500000000002</v>
      </c>
      <c r="D198">
        <f t="shared" si="3"/>
        <v>505.80375000000004</v>
      </c>
    </row>
    <row r="199" spans="1:4" x14ac:dyDescent="0.25">
      <c r="A199" t="s">
        <v>204</v>
      </c>
      <c r="B199">
        <v>91</v>
      </c>
      <c r="C199">
        <v>2.2443749999999998</v>
      </c>
      <c r="D199">
        <f t="shared" si="3"/>
        <v>204.23812499999997</v>
      </c>
    </row>
    <row r="200" spans="1:4" x14ac:dyDescent="0.25">
      <c r="A200" t="s">
        <v>205</v>
      </c>
      <c r="B200">
        <v>273</v>
      </c>
      <c r="C200">
        <v>2.2799999999999998</v>
      </c>
      <c r="D200">
        <f t="shared" si="3"/>
        <v>622.43999999999994</v>
      </c>
    </row>
    <row r="201" spans="1:4" x14ac:dyDescent="0.25">
      <c r="A201" t="s">
        <v>206</v>
      </c>
      <c r="B201">
        <v>688</v>
      </c>
      <c r="C201">
        <v>2.3512499999999998</v>
      </c>
      <c r="D201">
        <f t="shared" si="3"/>
        <v>1617.6599999999999</v>
      </c>
    </row>
    <row r="202" spans="1:4" x14ac:dyDescent="0.25">
      <c r="A202" t="s">
        <v>207</v>
      </c>
      <c r="B202">
        <v>767</v>
      </c>
      <c r="C202">
        <v>2.4224999999999999</v>
      </c>
      <c r="D202">
        <f t="shared" si="3"/>
        <v>1858.0574999999999</v>
      </c>
    </row>
    <row r="203" spans="1:4" x14ac:dyDescent="0.25">
      <c r="A203" t="s">
        <v>208</v>
      </c>
      <c r="B203">
        <v>45</v>
      </c>
      <c r="C203">
        <v>2.5293749999999999</v>
      </c>
      <c r="D203">
        <f t="shared" si="3"/>
        <v>113.82187499999999</v>
      </c>
    </row>
    <row r="204" spans="1:4" x14ac:dyDescent="0.25">
      <c r="A204" t="s">
        <v>209</v>
      </c>
      <c r="B204">
        <v>45</v>
      </c>
      <c r="C204">
        <v>2.5649999999999999</v>
      </c>
      <c r="D204">
        <f t="shared" si="3"/>
        <v>115.425</v>
      </c>
    </row>
    <row r="205" spans="1:4" x14ac:dyDescent="0.25">
      <c r="A205" t="s">
        <v>210</v>
      </c>
      <c r="B205">
        <v>91</v>
      </c>
      <c r="C205">
        <v>2.63625</v>
      </c>
      <c r="D205">
        <f t="shared" si="3"/>
        <v>239.89875000000001</v>
      </c>
    </row>
    <row r="206" spans="1:4" x14ac:dyDescent="0.25">
      <c r="A206" t="s">
        <v>211</v>
      </c>
      <c r="B206">
        <v>46</v>
      </c>
      <c r="C206">
        <v>2.7075</v>
      </c>
      <c r="D206">
        <f t="shared" si="3"/>
        <v>124.545</v>
      </c>
    </row>
    <row r="207" spans="1:4" x14ac:dyDescent="0.25">
      <c r="A207" t="s">
        <v>212</v>
      </c>
      <c r="B207">
        <v>91</v>
      </c>
      <c r="C207">
        <v>2.7787500000000001</v>
      </c>
      <c r="D207">
        <f t="shared" si="3"/>
        <v>252.86625000000001</v>
      </c>
    </row>
    <row r="208" spans="1:4" x14ac:dyDescent="0.25">
      <c r="A208" t="s">
        <v>213</v>
      </c>
      <c r="B208">
        <v>61</v>
      </c>
      <c r="C208">
        <v>1.3109999999999999</v>
      </c>
      <c r="D208">
        <f t="shared" si="3"/>
        <v>79.971000000000004</v>
      </c>
    </row>
    <row r="209" spans="1:4" x14ac:dyDescent="0.25">
      <c r="A209" t="s">
        <v>214</v>
      </c>
      <c r="B209">
        <v>61</v>
      </c>
      <c r="C209">
        <v>1.482</v>
      </c>
      <c r="D209">
        <f t="shared" si="3"/>
        <v>90.402000000000001</v>
      </c>
    </row>
    <row r="210" spans="1:4" x14ac:dyDescent="0.25">
      <c r="A210" t="s">
        <v>215</v>
      </c>
      <c r="B210">
        <v>62</v>
      </c>
      <c r="C210">
        <v>1.5960000000000001</v>
      </c>
      <c r="D210">
        <f t="shared" si="3"/>
        <v>98.951999999999998</v>
      </c>
    </row>
    <row r="211" spans="1:4" x14ac:dyDescent="0.25">
      <c r="A211" t="s">
        <v>216</v>
      </c>
      <c r="B211">
        <v>62</v>
      </c>
      <c r="C211">
        <v>1.653</v>
      </c>
      <c r="D211">
        <f t="shared" si="3"/>
        <v>102.486</v>
      </c>
    </row>
    <row r="212" spans="1:4" x14ac:dyDescent="0.25">
      <c r="A212" t="s">
        <v>217</v>
      </c>
      <c r="B212">
        <v>616</v>
      </c>
      <c r="C212">
        <v>1.71</v>
      </c>
      <c r="D212">
        <f t="shared" si="3"/>
        <v>1053.3599999999999</v>
      </c>
    </row>
    <row r="213" spans="1:4" x14ac:dyDescent="0.25">
      <c r="A213" t="s">
        <v>218</v>
      </c>
      <c r="B213">
        <v>1847</v>
      </c>
      <c r="C213">
        <v>1.7669999999999999</v>
      </c>
      <c r="D213">
        <f t="shared" si="3"/>
        <v>3263.6489999999999</v>
      </c>
    </row>
    <row r="214" spans="1:4" x14ac:dyDescent="0.25">
      <c r="A214" t="s">
        <v>219</v>
      </c>
      <c r="B214">
        <v>59</v>
      </c>
      <c r="C214">
        <v>1.8525</v>
      </c>
      <c r="D214">
        <f t="shared" si="3"/>
        <v>109.2975</v>
      </c>
    </row>
    <row r="215" spans="1:4" x14ac:dyDescent="0.25">
      <c r="A215" t="s">
        <v>220</v>
      </c>
      <c r="B215">
        <v>2764</v>
      </c>
      <c r="C215">
        <v>1.881</v>
      </c>
      <c r="D215">
        <f t="shared" si="3"/>
        <v>5199.0839999999998</v>
      </c>
    </row>
    <row r="216" spans="1:4" x14ac:dyDescent="0.25">
      <c r="A216" t="s">
        <v>221</v>
      </c>
      <c r="B216">
        <v>927</v>
      </c>
      <c r="C216">
        <v>1.9379999999999999</v>
      </c>
      <c r="D216">
        <f t="shared" si="3"/>
        <v>1796.5259999999998</v>
      </c>
    </row>
    <row r="217" spans="1:4" x14ac:dyDescent="0.25">
      <c r="A217" t="s">
        <v>222</v>
      </c>
      <c r="B217">
        <v>495</v>
      </c>
      <c r="C217">
        <v>1.9950000000000001</v>
      </c>
      <c r="D217">
        <f t="shared" si="3"/>
        <v>987.52500000000009</v>
      </c>
    </row>
    <row r="218" spans="1:4" x14ac:dyDescent="0.25">
      <c r="A218" t="s">
        <v>223</v>
      </c>
      <c r="B218">
        <v>62</v>
      </c>
      <c r="C218">
        <v>2.109</v>
      </c>
      <c r="D218">
        <f t="shared" si="3"/>
        <v>130.75800000000001</v>
      </c>
    </row>
    <row r="219" spans="1:4" x14ac:dyDescent="0.25">
      <c r="A219" t="s">
        <v>224</v>
      </c>
      <c r="B219">
        <v>490</v>
      </c>
      <c r="C219">
        <v>2.1659999999999999</v>
      </c>
      <c r="D219">
        <f t="shared" si="3"/>
        <v>1061.3399999999999</v>
      </c>
    </row>
    <row r="220" spans="1:4" x14ac:dyDescent="0.25">
      <c r="A220" t="s">
        <v>225</v>
      </c>
      <c r="B220">
        <v>122</v>
      </c>
      <c r="C220">
        <v>2.2229999999999999</v>
      </c>
      <c r="D220">
        <f t="shared" si="3"/>
        <v>271.20599999999996</v>
      </c>
    </row>
    <row r="221" spans="1:4" x14ac:dyDescent="0.25">
      <c r="A221" t="s">
        <v>226</v>
      </c>
      <c r="B221">
        <v>46</v>
      </c>
      <c r="C221">
        <v>2.9389799999999999</v>
      </c>
      <c r="D221">
        <f t="shared" si="3"/>
        <v>135.19308000000001</v>
      </c>
    </row>
    <row r="222" spans="1:4" x14ac:dyDescent="0.25">
      <c r="A222" t="s">
        <v>227</v>
      </c>
      <c r="B222">
        <v>46</v>
      </c>
      <c r="C222">
        <v>3.0280399999999998</v>
      </c>
      <c r="D222">
        <f t="shared" si="3"/>
        <v>139.28984</v>
      </c>
    </row>
    <row r="223" spans="1:4" x14ac:dyDescent="0.25">
      <c r="A223" t="s">
        <v>228</v>
      </c>
      <c r="B223">
        <v>45</v>
      </c>
      <c r="C223">
        <v>3.1171000000000002</v>
      </c>
      <c r="D223">
        <f t="shared" si="3"/>
        <v>140.26950000000002</v>
      </c>
    </row>
    <row r="224" spans="1:4" x14ac:dyDescent="0.25">
      <c r="A224" t="s">
        <v>229</v>
      </c>
      <c r="B224">
        <v>45</v>
      </c>
      <c r="C224">
        <v>3.29522</v>
      </c>
      <c r="D224">
        <f t="shared" si="3"/>
        <v>148.28489999999999</v>
      </c>
    </row>
    <row r="225" spans="1:4" x14ac:dyDescent="0.25">
      <c r="A225" t="s">
        <v>230</v>
      </c>
      <c r="B225">
        <v>43</v>
      </c>
      <c r="C225">
        <v>3.38428</v>
      </c>
      <c r="D225">
        <f t="shared" si="3"/>
        <v>145.52403999999999</v>
      </c>
    </row>
    <row r="226" spans="1:4" x14ac:dyDescent="0.25">
      <c r="A226" t="s">
        <v>231</v>
      </c>
      <c r="B226">
        <v>45</v>
      </c>
      <c r="C226">
        <v>3.4733399999999999</v>
      </c>
      <c r="D226">
        <f t="shared" si="3"/>
        <v>156.30029999999999</v>
      </c>
    </row>
    <row r="227" spans="1:4" x14ac:dyDescent="0.25">
      <c r="A227" t="s">
        <v>232</v>
      </c>
      <c r="B227">
        <v>71</v>
      </c>
      <c r="C227">
        <v>0.78400000000000003</v>
      </c>
      <c r="D227">
        <f t="shared" si="3"/>
        <v>55.664000000000001</v>
      </c>
    </row>
    <row r="228" spans="1:4" x14ac:dyDescent="0.25">
      <c r="A228" t="s">
        <v>233</v>
      </c>
      <c r="B228">
        <v>46</v>
      </c>
      <c r="C228">
        <v>1.2825</v>
      </c>
      <c r="D228">
        <f t="shared" si="3"/>
        <v>58.994999999999997</v>
      </c>
    </row>
    <row r="229" spans="1:4" x14ac:dyDescent="0.25">
      <c r="A229" t="s">
        <v>234</v>
      </c>
      <c r="B229">
        <v>41</v>
      </c>
      <c r="C229">
        <v>0.99836400000000003</v>
      </c>
      <c r="D229">
        <f t="shared" si="3"/>
        <v>40.932924</v>
      </c>
    </row>
    <row r="230" spans="1:4" x14ac:dyDescent="0.25">
      <c r="A230" t="s">
        <v>235</v>
      </c>
      <c r="B230">
        <v>35</v>
      </c>
      <c r="C230">
        <v>2.673</v>
      </c>
      <c r="D230">
        <f t="shared" si="3"/>
        <v>93.555000000000007</v>
      </c>
    </row>
    <row r="231" spans="1:4" x14ac:dyDescent="0.25">
      <c r="A231" t="s">
        <v>236</v>
      </c>
      <c r="B231">
        <v>36</v>
      </c>
      <c r="C231">
        <v>2.8512</v>
      </c>
      <c r="D231">
        <f t="shared" si="3"/>
        <v>102.64319999999999</v>
      </c>
    </row>
    <row r="232" spans="1:4" x14ac:dyDescent="0.25">
      <c r="A232" t="s">
        <v>237</v>
      </c>
      <c r="B232">
        <v>36</v>
      </c>
      <c r="C232">
        <v>0.76049999999999995</v>
      </c>
      <c r="D232">
        <f t="shared" si="3"/>
        <v>27.378</v>
      </c>
    </row>
    <row r="233" spans="1:4" x14ac:dyDescent="0.25">
      <c r="A233" t="s">
        <v>238</v>
      </c>
      <c r="B233">
        <v>36</v>
      </c>
      <c r="C233">
        <v>1.3806</v>
      </c>
      <c r="D233">
        <f t="shared" si="3"/>
        <v>49.701599999999999</v>
      </c>
    </row>
    <row r="234" spans="1:4" x14ac:dyDescent="0.25">
      <c r="A234" t="s">
        <v>239</v>
      </c>
      <c r="B234">
        <v>33</v>
      </c>
      <c r="C234">
        <v>1.0263850000000001</v>
      </c>
      <c r="D234">
        <f t="shared" si="3"/>
        <v>33.870705000000001</v>
      </c>
    </row>
    <row r="235" spans="1:4" x14ac:dyDescent="0.25">
      <c r="A235" t="s">
        <v>240</v>
      </c>
      <c r="B235">
        <v>34</v>
      </c>
      <c r="C235">
        <v>1.042055</v>
      </c>
      <c r="D235">
        <f t="shared" si="3"/>
        <v>35.429870000000001</v>
      </c>
    </row>
    <row r="236" spans="1:4" x14ac:dyDescent="0.25">
      <c r="A236" t="s">
        <v>241</v>
      </c>
      <c r="B236">
        <v>66</v>
      </c>
      <c r="C236">
        <v>1.5669999999999999</v>
      </c>
      <c r="D236">
        <f t="shared" si="3"/>
        <v>103.422</v>
      </c>
    </row>
    <row r="237" spans="1:4" x14ac:dyDescent="0.25">
      <c r="A237" t="s">
        <v>242</v>
      </c>
      <c r="B237">
        <v>34</v>
      </c>
      <c r="C237">
        <v>1.762875</v>
      </c>
      <c r="D237">
        <f t="shared" si="3"/>
        <v>59.937750000000001</v>
      </c>
    </row>
    <row r="238" spans="1:4" x14ac:dyDescent="0.25">
      <c r="A238" t="s">
        <v>243</v>
      </c>
      <c r="B238">
        <v>34</v>
      </c>
      <c r="C238">
        <v>1.8412249999999999</v>
      </c>
      <c r="D238">
        <f t="shared" si="3"/>
        <v>62.601649999999999</v>
      </c>
    </row>
    <row r="239" spans="1:4" x14ac:dyDescent="0.25">
      <c r="A239" t="s">
        <v>244</v>
      </c>
      <c r="B239">
        <v>102</v>
      </c>
      <c r="C239">
        <v>1.8804000000000001</v>
      </c>
      <c r="D239">
        <f t="shared" si="3"/>
        <v>191.80080000000001</v>
      </c>
    </row>
    <row r="240" spans="1:4" x14ac:dyDescent="0.25">
      <c r="A240" t="s">
        <v>245</v>
      </c>
      <c r="B240">
        <v>63</v>
      </c>
      <c r="C240">
        <v>1.2284999999999999</v>
      </c>
      <c r="D240">
        <f t="shared" si="3"/>
        <v>77.395499999999998</v>
      </c>
    </row>
    <row r="241" spans="1:4" x14ac:dyDescent="0.25">
      <c r="A241" t="s">
        <v>246</v>
      </c>
      <c r="B241">
        <v>94</v>
      </c>
      <c r="C241">
        <v>1.2940199999999999</v>
      </c>
      <c r="D241">
        <f t="shared" si="3"/>
        <v>121.63788</v>
      </c>
    </row>
    <row r="242" spans="1:4" x14ac:dyDescent="0.25">
      <c r="A242" t="s">
        <v>247</v>
      </c>
      <c r="B242">
        <v>31</v>
      </c>
      <c r="C242">
        <v>2.2113</v>
      </c>
      <c r="D242">
        <f t="shared" si="3"/>
        <v>68.550300000000007</v>
      </c>
    </row>
    <row r="243" spans="1:4" x14ac:dyDescent="0.25">
      <c r="A243" t="s">
        <v>248</v>
      </c>
      <c r="B243">
        <v>31</v>
      </c>
      <c r="C243">
        <v>4.0294800000000004</v>
      </c>
      <c r="D243">
        <f t="shared" si="3"/>
        <v>124.91388000000001</v>
      </c>
    </row>
    <row r="244" spans="1:4" x14ac:dyDescent="0.25">
      <c r="A244" t="s">
        <v>249</v>
      </c>
      <c r="B244">
        <v>31</v>
      </c>
      <c r="C244">
        <v>2.71225</v>
      </c>
      <c r="D244">
        <f t="shared" si="3"/>
        <v>84.079750000000004</v>
      </c>
    </row>
    <row r="245" spans="1:4" x14ac:dyDescent="0.25">
      <c r="A245" t="s">
        <v>250</v>
      </c>
      <c r="B245">
        <v>32</v>
      </c>
      <c r="C245">
        <v>3.211875</v>
      </c>
      <c r="D245">
        <f t="shared" si="3"/>
        <v>102.78</v>
      </c>
    </row>
    <row r="246" spans="1:4" x14ac:dyDescent="0.25">
      <c r="A246" t="s">
        <v>251</v>
      </c>
      <c r="B246">
        <v>62</v>
      </c>
      <c r="C246">
        <v>4.2824999999999998</v>
      </c>
      <c r="D246">
        <f t="shared" si="3"/>
        <v>265.51499999999999</v>
      </c>
    </row>
    <row r="247" spans="1:4" x14ac:dyDescent="0.25">
      <c r="A247" t="s">
        <v>252</v>
      </c>
      <c r="B247">
        <v>28</v>
      </c>
      <c r="C247">
        <v>2.0671200000000001</v>
      </c>
      <c r="D247">
        <f t="shared" si="3"/>
        <v>57.879360000000005</v>
      </c>
    </row>
    <row r="248" spans="1:4" x14ac:dyDescent="0.25">
      <c r="A248" t="s">
        <v>253</v>
      </c>
      <c r="B248">
        <v>54</v>
      </c>
      <c r="C248">
        <v>3.1194999999999999</v>
      </c>
      <c r="D248">
        <f t="shared" si="3"/>
        <v>168.453</v>
      </c>
    </row>
    <row r="249" spans="1:4" x14ac:dyDescent="0.25">
      <c r="A249" t="s">
        <v>254</v>
      </c>
      <c r="B249">
        <v>24</v>
      </c>
      <c r="C249">
        <v>3.8374000000000001</v>
      </c>
      <c r="D249">
        <f t="shared" si="3"/>
        <v>92.0976</v>
      </c>
    </row>
    <row r="250" spans="1:4" x14ac:dyDescent="0.25">
      <c r="A250" t="s">
        <v>255</v>
      </c>
      <c r="B250">
        <v>21</v>
      </c>
      <c r="C250">
        <v>3.5179200000000002</v>
      </c>
      <c r="D250">
        <f t="shared" si="3"/>
        <v>73.876320000000007</v>
      </c>
    </row>
    <row r="251" spans="1:4" x14ac:dyDescent="0.25">
      <c r="A251" t="s">
        <v>256</v>
      </c>
      <c r="B251">
        <v>20</v>
      </c>
      <c r="C251">
        <v>4.4915000000000003</v>
      </c>
      <c r="D251">
        <f t="shared" si="3"/>
        <v>89.830000000000013</v>
      </c>
    </row>
    <row r="252" spans="1:4" x14ac:dyDescent="0.25">
      <c r="A252" t="s">
        <v>257</v>
      </c>
      <c r="B252">
        <v>20</v>
      </c>
      <c r="C252">
        <v>5.3213999999999997</v>
      </c>
      <c r="D252">
        <f t="shared" si="3"/>
        <v>106.428</v>
      </c>
    </row>
    <row r="253" spans="1:4" x14ac:dyDescent="0.25">
      <c r="A253" t="s">
        <v>258</v>
      </c>
      <c r="B253">
        <v>19</v>
      </c>
      <c r="C253">
        <v>5.6769800000000004</v>
      </c>
      <c r="D253">
        <f t="shared" si="3"/>
        <v>107.86262000000001</v>
      </c>
    </row>
    <row r="254" spans="1:4" x14ac:dyDescent="0.25">
      <c r="A254" t="s">
        <v>259</v>
      </c>
      <c r="B254">
        <v>68</v>
      </c>
      <c r="C254">
        <v>6.546735</v>
      </c>
      <c r="D254">
        <f t="shared" si="3"/>
        <v>445.17797999999999</v>
      </c>
    </row>
    <row r="255" spans="1:4" x14ac:dyDescent="0.25">
      <c r="A255" t="s">
        <v>260</v>
      </c>
      <c r="B255">
        <v>105</v>
      </c>
      <c r="C255">
        <f>2*0.84084</f>
        <v>1.6816800000000001</v>
      </c>
      <c r="D255">
        <f t="shared" si="3"/>
        <v>176.57640000000001</v>
      </c>
    </row>
    <row r="256" spans="1:4" x14ac:dyDescent="0.25">
      <c r="A256" t="s">
        <v>261</v>
      </c>
      <c r="B256">
        <v>70</v>
      </c>
      <c r="C256">
        <f>2*1.0738</f>
        <v>2.1476000000000002</v>
      </c>
      <c r="D256">
        <f t="shared" si="3"/>
        <v>150.33200000000002</v>
      </c>
    </row>
    <row r="257" spans="1:4" x14ac:dyDescent="0.25">
      <c r="A257" t="s">
        <v>262</v>
      </c>
      <c r="B257">
        <v>154</v>
      </c>
      <c r="C257">
        <f>3*0.91</f>
        <v>2.73</v>
      </c>
      <c r="D257">
        <f t="shared" si="3"/>
        <v>420.42</v>
      </c>
    </row>
    <row r="258" spans="1:4" x14ac:dyDescent="0.25">
      <c r="A258" t="s">
        <v>263</v>
      </c>
      <c r="B258">
        <v>334</v>
      </c>
      <c r="C258">
        <f>3*1.035216</f>
        <v>3.1056479999999995</v>
      </c>
      <c r="D258">
        <f t="shared" si="3"/>
        <v>1037.2864319999999</v>
      </c>
    </row>
    <row r="259" spans="1:4" x14ac:dyDescent="0.25">
      <c r="A259" t="s">
        <v>264</v>
      </c>
      <c r="B259">
        <v>44</v>
      </c>
      <c r="C259">
        <f>3*1.3104</f>
        <v>3.9312</v>
      </c>
      <c r="D259">
        <f t="shared" ref="D259:D279" si="4">C259*B259</f>
        <v>172.97280000000001</v>
      </c>
    </row>
    <row r="260" spans="1:4" x14ac:dyDescent="0.25">
      <c r="A260" t="s">
        <v>265</v>
      </c>
      <c r="B260">
        <v>44</v>
      </c>
      <c r="C260">
        <f>3*1.3468</f>
        <v>4.0404</v>
      </c>
      <c r="D260">
        <f t="shared" si="4"/>
        <v>177.77760000000001</v>
      </c>
    </row>
    <row r="261" spans="1:4" x14ac:dyDescent="0.25">
      <c r="A261" t="s">
        <v>266</v>
      </c>
      <c r="B261">
        <v>44</v>
      </c>
      <c r="C261">
        <f>3*1.37085</f>
        <v>4.1125499999999997</v>
      </c>
      <c r="D261">
        <f t="shared" si="4"/>
        <v>180.95219999999998</v>
      </c>
    </row>
    <row r="262" spans="1:4" x14ac:dyDescent="0.25">
      <c r="A262" t="s">
        <v>267</v>
      </c>
      <c r="B262">
        <v>29</v>
      </c>
      <c r="C262">
        <f>2*2.4453</f>
        <v>4.8906000000000001</v>
      </c>
      <c r="D262">
        <f t="shared" si="4"/>
        <v>141.82740000000001</v>
      </c>
    </row>
    <row r="263" spans="1:4" x14ac:dyDescent="0.25">
      <c r="A263" t="s">
        <v>268</v>
      </c>
      <c r="B263">
        <v>56</v>
      </c>
      <c r="C263">
        <f>2.6676*2</f>
        <v>5.3352000000000004</v>
      </c>
      <c r="D263">
        <f t="shared" si="4"/>
        <v>298.77120000000002</v>
      </c>
    </row>
    <row r="264" spans="1:4" x14ac:dyDescent="0.25">
      <c r="A264" t="s">
        <v>269</v>
      </c>
      <c r="B264">
        <v>10</v>
      </c>
      <c r="C264">
        <v>5.4482999999999997</v>
      </c>
      <c r="D264">
        <f t="shared" si="4"/>
        <v>54.482999999999997</v>
      </c>
    </row>
    <row r="265" spans="1:4" x14ac:dyDescent="0.25">
      <c r="A265" t="s">
        <v>270</v>
      </c>
      <c r="B265">
        <v>10</v>
      </c>
      <c r="C265">
        <v>5.7824624</v>
      </c>
      <c r="D265">
        <f t="shared" si="4"/>
        <v>57.824624</v>
      </c>
    </row>
    <row r="266" spans="1:4" x14ac:dyDescent="0.25">
      <c r="A266" t="s">
        <v>271</v>
      </c>
      <c r="B266">
        <v>40</v>
      </c>
      <c r="C266">
        <v>7.1917559999999998</v>
      </c>
      <c r="D266">
        <f t="shared" si="4"/>
        <v>287.67023999999998</v>
      </c>
    </row>
    <row r="267" spans="1:4" x14ac:dyDescent="0.25">
      <c r="A267" t="s">
        <v>272</v>
      </c>
      <c r="B267">
        <v>30</v>
      </c>
      <c r="C267">
        <v>7.3370439999999997</v>
      </c>
      <c r="D267">
        <f t="shared" si="4"/>
        <v>220.11131999999998</v>
      </c>
    </row>
    <row r="268" spans="1:4" x14ac:dyDescent="0.25">
      <c r="A268" t="s">
        <v>273</v>
      </c>
      <c r="B268">
        <v>10</v>
      </c>
      <c r="C268">
        <v>7.4096880000000001</v>
      </c>
      <c r="D268">
        <f t="shared" si="4"/>
        <v>74.096879999999999</v>
      </c>
    </row>
    <row r="269" spans="1:4" x14ac:dyDescent="0.25">
      <c r="A269" t="s">
        <v>274</v>
      </c>
      <c r="B269">
        <v>10</v>
      </c>
      <c r="C269">
        <v>7.4823320000000004</v>
      </c>
      <c r="D269">
        <f t="shared" si="4"/>
        <v>74.82332000000001</v>
      </c>
    </row>
    <row r="270" spans="1:4" x14ac:dyDescent="0.25">
      <c r="A270" t="s">
        <v>275</v>
      </c>
      <c r="B270">
        <v>10</v>
      </c>
      <c r="C270">
        <v>7.5549759999999999</v>
      </c>
      <c r="D270">
        <f t="shared" si="4"/>
        <v>75.549759999999992</v>
      </c>
    </row>
    <row r="271" spans="1:4" x14ac:dyDescent="0.25">
      <c r="A271" t="s">
        <v>276</v>
      </c>
      <c r="B271">
        <v>10</v>
      </c>
      <c r="C271">
        <v>7.6276200000000003</v>
      </c>
      <c r="D271">
        <f t="shared" si="4"/>
        <v>76.276200000000003</v>
      </c>
    </row>
    <row r="272" spans="1:4" x14ac:dyDescent="0.25">
      <c r="A272" t="s">
        <v>277</v>
      </c>
      <c r="B272">
        <v>10</v>
      </c>
      <c r="C272">
        <v>7.8891384000000002</v>
      </c>
      <c r="D272">
        <f t="shared" si="4"/>
        <v>78.891384000000002</v>
      </c>
    </row>
    <row r="273" spans="1:4" x14ac:dyDescent="0.25">
      <c r="A273" t="s">
        <v>278</v>
      </c>
      <c r="B273">
        <v>10</v>
      </c>
      <c r="C273">
        <v>8.1361279999999994</v>
      </c>
      <c r="D273">
        <f t="shared" si="4"/>
        <v>81.361279999999994</v>
      </c>
    </row>
    <row r="274" spans="1:4" x14ac:dyDescent="0.25">
      <c r="A274" t="s">
        <v>279</v>
      </c>
      <c r="B274">
        <v>20</v>
      </c>
      <c r="C274">
        <v>8.4993479999999995</v>
      </c>
      <c r="D274">
        <f t="shared" si="4"/>
        <v>169.98695999999998</v>
      </c>
    </row>
    <row r="275" spans="1:4" x14ac:dyDescent="0.25">
      <c r="A275" t="s">
        <v>280</v>
      </c>
      <c r="B275">
        <v>20</v>
      </c>
      <c r="C275">
        <v>8.5719919999999998</v>
      </c>
      <c r="D275">
        <f t="shared" si="4"/>
        <v>171.43984</v>
      </c>
    </row>
    <row r="276" spans="1:4" x14ac:dyDescent="0.25">
      <c r="A276" t="s">
        <v>281</v>
      </c>
      <c r="B276">
        <v>10</v>
      </c>
      <c r="C276">
        <v>9.0078560000000003</v>
      </c>
      <c r="D276">
        <f t="shared" si="4"/>
        <v>90.07856000000001</v>
      </c>
    </row>
    <row r="277" spans="1:4" x14ac:dyDescent="0.25">
      <c r="A277" t="s">
        <v>282</v>
      </c>
      <c r="B277">
        <v>38</v>
      </c>
      <c r="C277">
        <v>10.315448</v>
      </c>
      <c r="D277">
        <f t="shared" si="4"/>
        <v>391.98702400000002</v>
      </c>
    </row>
    <row r="278" spans="1:4" x14ac:dyDescent="0.25">
      <c r="A278" t="s">
        <v>283</v>
      </c>
      <c r="B278">
        <v>20</v>
      </c>
      <c r="C278">
        <v>10.533379999999999</v>
      </c>
      <c r="D278">
        <f t="shared" si="4"/>
        <v>210.66759999999999</v>
      </c>
    </row>
    <row r="279" spans="1:4" x14ac:dyDescent="0.25">
      <c r="A279" t="s">
        <v>284</v>
      </c>
      <c r="B279">
        <v>9</v>
      </c>
      <c r="C279">
        <v>11.158118399999999</v>
      </c>
      <c r="D279">
        <f t="shared" si="4"/>
        <v>100.4230656</v>
      </c>
    </row>
  </sheetData>
  <autoFilter ref="A1"/>
  <dataConsolidate>
    <dataRefs count="1">
      <dataRef ref="A2:B505" sheet="Template"/>
    </dataRefs>
  </dataConsolidate>
  <conditionalFormatting sqref="A1:A1048576">
    <cfRule type="duplicateValues" dxfId="1" priority="3"/>
    <cfRule type="duplicateValues" dxfId="0" priority="1"/>
  </conditionalFormatting>
  <pageMargins left="0.7" right="0.7" top="0.75" bottom="0.75" header="0.3" footer="0.3"/>
  <ignoredErrors>
    <ignoredError sqref="B1 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 TICARET</cp:lastModifiedBy>
  <dcterms:modified xsi:type="dcterms:W3CDTF">2026-01-20T08:41:29Z</dcterms:modified>
</cp:coreProperties>
</file>