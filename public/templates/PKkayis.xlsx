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17745" windowHeight="11970"/>
  </bookViews>
  <sheets>
    <sheet name="Sayfa1" sheetId="1" r:id="rId1"/>
    <sheet name="Sayfa2" sheetId="2" r:id="rId2"/>
  </sheets>
  <definedNames>
    <definedName name="_xlnm._FilterDatabase" localSheetId="0" hidden="1">Sayfa1!$A$1:$R$2464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D3" i="1"/>
  <c r="H3" i="1"/>
  <c r="L3" i="1"/>
  <c r="P3" i="1"/>
  <c r="B4" i="1"/>
  <c r="D4" i="1"/>
  <c r="H4" i="1"/>
  <c r="L4" i="1"/>
  <c r="P4" i="1"/>
  <c r="B5" i="1"/>
  <c r="D5" i="1"/>
  <c r="H5" i="1"/>
  <c r="L5" i="1"/>
  <c r="P5" i="1"/>
  <c r="B6" i="1"/>
  <c r="D6" i="1"/>
  <c r="H6" i="1"/>
  <c r="L6" i="1"/>
  <c r="P6" i="1"/>
  <c r="B7" i="1"/>
  <c r="D7" i="1"/>
  <c r="H7" i="1"/>
  <c r="L7" i="1"/>
  <c r="P7" i="1"/>
  <c r="B8" i="1"/>
  <c r="D8" i="1"/>
  <c r="H8" i="1"/>
  <c r="L8" i="1"/>
  <c r="P8" i="1"/>
  <c r="B9" i="1"/>
  <c r="D9" i="1"/>
  <c r="H9" i="1"/>
  <c r="L9" i="1"/>
  <c r="P9" i="1"/>
  <c r="B10" i="1"/>
  <c r="D10" i="1"/>
  <c r="H10" i="1"/>
  <c r="L10" i="1"/>
  <c r="P10" i="1"/>
  <c r="B11" i="1"/>
  <c r="D11" i="1"/>
  <c r="H11" i="1"/>
  <c r="L11" i="1"/>
  <c r="P11" i="1"/>
  <c r="B12" i="1"/>
  <c r="D12" i="1"/>
  <c r="H12" i="1"/>
  <c r="L12" i="1"/>
  <c r="P12" i="1"/>
  <c r="B13" i="1"/>
  <c r="D13" i="1"/>
  <c r="H13" i="1"/>
  <c r="L13" i="1"/>
  <c r="P13" i="1"/>
  <c r="B14" i="1"/>
  <c r="D14" i="1"/>
  <c r="H14" i="1"/>
  <c r="L14" i="1"/>
  <c r="P14" i="1"/>
  <c r="B15" i="1"/>
  <c r="D15" i="1"/>
  <c r="H15" i="1"/>
  <c r="L15" i="1"/>
  <c r="P15" i="1"/>
  <c r="B16" i="1"/>
  <c r="D16" i="1"/>
  <c r="H16" i="1"/>
  <c r="L16" i="1"/>
  <c r="P16" i="1"/>
  <c r="B17" i="1"/>
  <c r="D17" i="1"/>
  <c r="H17" i="1"/>
  <c r="L17" i="1"/>
  <c r="P17" i="1"/>
  <c r="B18" i="1"/>
  <c r="D18" i="1"/>
  <c r="H18" i="1"/>
  <c r="L18" i="1"/>
  <c r="P18" i="1"/>
  <c r="B19" i="1"/>
  <c r="D19" i="1"/>
  <c r="H19" i="1"/>
  <c r="L19" i="1"/>
  <c r="P19" i="1"/>
  <c r="P2" i="1"/>
  <c r="L2" i="1"/>
  <c r="H2" i="1"/>
  <c r="D2" i="1"/>
  <c r="B2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5" i="2"/>
</calcChain>
</file>

<file path=xl/sharedStrings.xml><?xml version="1.0" encoding="utf-8"?>
<sst xmlns="http://schemas.openxmlformats.org/spreadsheetml/2006/main" count="343" uniqueCount="77">
  <si>
    <t>code</t>
  </si>
  <si>
    <t>name</t>
  </si>
  <si>
    <t>category</t>
  </si>
  <si>
    <t>unit_price</t>
  </si>
  <si>
    <t>description</t>
  </si>
  <si>
    <t>notes</t>
  </si>
  <si>
    <t>attr_name_1</t>
  </si>
  <si>
    <t>attr_value_1</t>
  </si>
  <si>
    <t>attr_unit_1</t>
  </si>
  <si>
    <t>attr_type_1</t>
  </si>
  <si>
    <t>attr_name_2</t>
  </si>
  <si>
    <t>attr_value_2</t>
  </si>
  <si>
    <t>attr_unit_2</t>
  </si>
  <si>
    <t>attr_type_2</t>
  </si>
  <si>
    <t>attr_name_3</t>
  </si>
  <si>
    <t>attr_value_3</t>
  </si>
  <si>
    <t>attr_unit_3</t>
  </si>
  <si>
    <t>attr_type_3</t>
  </si>
  <si>
    <t>Kayış</t>
  </si>
  <si>
    <t>Uzunluk</t>
  </si>
  <si>
    <t>mm</t>
  </si>
  <si>
    <t>number</t>
  </si>
  <si>
    <t>Tipi</t>
  </si>
  <si>
    <t>text</t>
  </si>
  <si>
    <t>Ağırlık</t>
  </si>
  <si>
    <t>KG</t>
  </si>
  <si>
    <t>STOK KODU</t>
  </si>
  <si>
    <t>TOPLAMLAR</t>
  </si>
  <si>
    <t>kilo</t>
  </si>
  <si>
    <t>MALEZYA 2021</t>
  </si>
  <si>
    <t>12PK</t>
  </si>
  <si>
    <t>16PK</t>
  </si>
  <si>
    <t>24PK</t>
  </si>
  <si>
    <t>36PK</t>
  </si>
  <si>
    <t>RXB-MRB- 8M16PK-1552-Lw-m</t>
  </si>
  <si>
    <t>RXB-MRB- 8M16PK-2248-Lw-m</t>
  </si>
  <si>
    <t>RXB-MRB- 8M12PK-1760-Lw-m</t>
  </si>
  <si>
    <t>RXB-MRB- 8M24PK-1760-Lw-m</t>
  </si>
  <si>
    <t>RXB-MRB- 8M28PK-1760-Lw-m</t>
  </si>
  <si>
    <t>RXB-MRB- 8M36PK-1760-Lw-m</t>
  </si>
  <si>
    <t>RXB-MRB- 8M36PK-2800-Lw-m</t>
  </si>
  <si>
    <t>RXB-MRB-14M36PK-1764-Lw-m</t>
  </si>
  <si>
    <t>RXB-MRB-8M120PK-1552-Lw-m</t>
  </si>
  <si>
    <t>RXB-MRB-8M120PK-1760-Lw-m</t>
  </si>
  <si>
    <t>RXB-MRB-8M120PK-2400-Lw-m</t>
  </si>
  <si>
    <t>RXB-MRB-8M120PK-2800-Lw-m</t>
  </si>
  <si>
    <t>RXB-OETB-S5M-10-100-m</t>
  </si>
  <si>
    <t>RXB-OETB-S8M-10-125-m</t>
  </si>
  <si>
    <t>RXB-OETB-S5M-12-125-m</t>
  </si>
  <si>
    <t>RXB-OETB-S8M-12-100-m</t>
  </si>
  <si>
    <t>RXB-OETB-S5M-15-100-m</t>
  </si>
  <si>
    <t>RXB-OETB-S8M-15-100-m</t>
  </si>
  <si>
    <t>16 PK 8M 1552</t>
  </si>
  <si>
    <t>16 PK 8M 2248</t>
  </si>
  <si>
    <t>12 PK 8M 1760</t>
  </si>
  <si>
    <t>24 PK 8M 1760</t>
  </si>
  <si>
    <t>28 PK 8M 1760</t>
  </si>
  <si>
    <t>36 PK 8M 1760</t>
  </si>
  <si>
    <t>36 PK 8M 2800</t>
  </si>
  <si>
    <t>36 PK 14M 1764</t>
  </si>
  <si>
    <t>120 PK 8M 1552</t>
  </si>
  <si>
    <t>120 PK 8M 1760</t>
  </si>
  <si>
    <t>119 PK 8M 2400</t>
  </si>
  <si>
    <t>120 PK 8M 2800</t>
  </si>
  <si>
    <t>10-S5M-100M R</t>
  </si>
  <si>
    <t>10-S8M-125M R</t>
  </si>
  <si>
    <t>12-S5M-125M R</t>
  </si>
  <si>
    <t>12-S8M-100M R</t>
  </si>
  <si>
    <t>15-S5M-100M R</t>
  </si>
  <si>
    <t>15-S8M-100M R</t>
  </si>
  <si>
    <t>4010.39              GV 6,5 GÖZ TSE</t>
  </si>
  <si>
    <t xml:space="preserve"> 8M</t>
  </si>
  <si>
    <t>28PK</t>
  </si>
  <si>
    <t>14M</t>
  </si>
  <si>
    <t>120PK</t>
  </si>
  <si>
    <t>S5M</t>
  </si>
  <si>
    <t>S8M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</si>
</sst>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09]#,##0.0000"/>
    <numFmt numFmtId="165" formatCode="0.000"/>
    <numFmt numFmtId="166" formatCode="[$$-409]#,##0.00"/>
  </numFmts>
  <fonts count="16" x14ac:knownFonts="1">
    <font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b/>
      <sz val="1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Tahoma"/>
      <family val="2"/>
      <charset val="162"/>
    </font>
    <font>
      <sz val="10"/>
      <name val="Arial"/>
      <family val="2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color indexed="9"/>
      <name val="Calibri"/>
      <family val="2"/>
      <charset val="162"/>
      <scheme val="minor"/>
    </font>
    <font>
      <b/>
      <sz val="10"/>
      <color indexed="12"/>
      <name val="Calibri"/>
      <family val="2"/>
      <charset val="162"/>
      <scheme val="minor"/>
    </font>
    <font>
      <sz val="10"/>
      <color indexed="10"/>
      <name val="Calibri"/>
      <family val="2"/>
      <charset val="162"/>
      <scheme val="minor"/>
    </font>
    <font>
      <b/>
      <sz val="11"/>
      <color indexed="9"/>
      <name val="Calibri"/>
      <family val="2"/>
      <charset val="162"/>
      <scheme val="minor"/>
    </font>
    <font>
      <sz val="10"/>
      <color indexed="10"/>
      <name val="Arial Tur"/>
      <charset val="162"/>
    </font>
    <font>
      <sz val="10"/>
      <color rgb="FFFF0000"/>
      <name val="Arial Tur"/>
      <charset val="162"/>
    </font>
    <font>
      <sz val="10"/>
      <color indexed="12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Fill="1"/>
    <xf numFmtId="0" fontId="7" fillId="0" borderId="0" xfId="0" applyFont="1" applyFill="1"/>
    <xf numFmtId="0" fontId="6" fillId="2" borderId="0" xfId="0" applyFont="1" applyFill="1"/>
    <xf numFmtId="0" fontId="8" fillId="0" borderId="0" xfId="0" applyFont="1" applyFill="1"/>
    <xf numFmtId="0" fontId="6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8" fillId="0" borderId="0" xfId="0" applyFont="1"/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2" fillId="6" borderId="0" xfId="0" applyFont="1" applyFill="1" applyAlignment="1">
      <alignment vertical="center" wrapText="1"/>
    </xf>
    <xf numFmtId="165" fontId="11" fillId="7" borderId="0" xfId="0" applyNumberFormat="1" applyFont="1" applyFill="1" applyAlignment="1">
      <alignment horizontal="right" vertical="center" wrapText="1"/>
    </xf>
    <xf numFmtId="165" fontId="11" fillId="4" borderId="1" xfId="0" applyNumberFormat="1" applyFont="1" applyFill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0" fillId="7" borderId="3" xfId="0" applyFont="1" applyFill="1" applyBorder="1" applyAlignment="1">
      <alignment horizontal="right" vertical="center" wrapText="1"/>
    </xf>
    <xf numFmtId="0" fontId="10" fillId="7" borderId="4" xfId="0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Font="1"/>
    <xf numFmtId="0" fontId="2" fillId="3" borderId="1" xfId="0" applyFont="1" applyFill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7" borderId="5" xfId="0" applyFont="1" applyFill="1" applyBorder="1" applyAlignment="1">
      <alignment horizontal="right" vertical="center" wrapText="1"/>
    </xf>
    <xf numFmtId="164" fontId="15" fillId="0" borderId="1" xfId="0" applyNumberFormat="1" applyFont="1" applyBorder="1" applyAlignment="1">
      <alignment horizontal="center" vertical="center"/>
    </xf>
    <xf numFmtId="166" fontId="15" fillId="0" borderId="6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64"/>
  <sheetViews>
    <sheetView tabSelected="1" workbookViewId="0">
      <selection activeCell="I22" sqref="I22"/>
    </sheetView>
  </sheetViews>
  <sheetFormatPr defaultRowHeight="15" x14ac:dyDescent="0.25"/>
  <cols>
    <col min="1" max="1" width="28" style="3" customWidth="1"/>
    <col min="2" max="2" width="21.7109375" bestFit="1" customWidth="1"/>
    <col min="3" max="3" width="8.5703125" bestFit="1" customWidth="1"/>
    <col min="4" max="4" width="12" bestFit="1" customWidth="1"/>
    <col min="5" max="5" width="11" bestFit="1" customWidth="1"/>
    <col min="6" max="6" width="6" bestFit="1" customWidth="1"/>
    <col min="7" max="7" width="12.140625" bestFit="1" customWidth="1"/>
    <col min="8" max="8" width="12" bestFit="1" customWidth="1"/>
    <col min="9" max="9" width="10.7109375" bestFit="1" customWidth="1"/>
    <col min="10" max="10" width="11.140625" bestFit="1" customWidth="1"/>
    <col min="11" max="11" width="12.140625" bestFit="1" customWidth="1"/>
    <col min="12" max="12" width="12" bestFit="1" customWidth="1"/>
    <col min="13" max="13" width="10.7109375" bestFit="1" customWidth="1"/>
    <col min="14" max="14" width="11.140625" bestFit="1" customWidth="1"/>
    <col min="15" max="15" width="12.140625" bestFit="1" customWidth="1"/>
    <col min="16" max="16" width="12" bestFit="1" customWidth="1"/>
    <col min="17" max="17" width="10.7109375" bestFit="1" customWidth="1"/>
    <col min="18" max="18" width="11.140625" bestFit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8" t="s">
        <v>34</v>
      </c>
      <c r="B2" t="str">
        <f>VLOOKUP(A2,Sayfa2!A:B,2,0)</f>
        <v>16 PK 8M 1552</v>
      </c>
      <c r="C2" t="s">
        <v>18</v>
      </c>
      <c r="D2">
        <f>VLOOKUP(A2,Sayfa2!O:P,2,0)</f>
        <v>15.12</v>
      </c>
      <c r="G2" t="s">
        <v>19</v>
      </c>
      <c r="H2">
        <f>VLOOKUP(A2,Sayfa2!K:L,2,0)</f>
        <v>1552</v>
      </c>
      <c r="I2" t="s">
        <v>20</v>
      </c>
      <c r="J2" t="s">
        <v>21</v>
      </c>
      <c r="K2" t="s">
        <v>22</v>
      </c>
      <c r="L2" t="str">
        <f>VLOOKUP(A2,Sayfa2!I:J,2,0)</f>
        <v xml:space="preserve"> 8M16PK</v>
      </c>
      <c r="N2" t="s">
        <v>23</v>
      </c>
      <c r="O2" t="s">
        <v>24</v>
      </c>
      <c r="P2">
        <f>VLOOKUP(A2,Sayfa2!M:N,2,0)</f>
        <v>0.9</v>
      </c>
      <c r="Q2" t="s">
        <v>25</v>
      </c>
      <c r="R2" t="s">
        <v>21</v>
      </c>
    </row>
    <row r="3" spans="1:18" x14ac:dyDescent="0.25">
      <c r="A3" s="8" t="s">
        <v>35</v>
      </c>
      <c r="B3" t="str">
        <f>VLOOKUP(A3,Sayfa2!A:B,2,0)</f>
        <v>16 PK 8M 2248</v>
      </c>
      <c r="C3" t="s">
        <v>18</v>
      </c>
      <c r="D3">
        <f>VLOOKUP(A3,Sayfa2!O:P,2,0)</f>
        <v>22.085999999999999</v>
      </c>
      <c r="G3" t="s">
        <v>19</v>
      </c>
      <c r="H3">
        <f>VLOOKUP(A3,Sayfa2!K:L,2,0)</f>
        <v>2248</v>
      </c>
      <c r="I3" t="s">
        <v>20</v>
      </c>
      <c r="J3" t="s">
        <v>21</v>
      </c>
      <c r="K3" t="s">
        <v>22</v>
      </c>
      <c r="L3" t="str">
        <f>VLOOKUP(A3,Sayfa2!I:J,2,0)</f>
        <v xml:space="preserve"> 8M16PK</v>
      </c>
      <c r="N3" t="s">
        <v>23</v>
      </c>
      <c r="O3" t="s">
        <v>24</v>
      </c>
      <c r="P3">
        <f>VLOOKUP(A3,Sayfa2!M:N,2,0)</f>
        <v>1.3</v>
      </c>
      <c r="Q3" t="s">
        <v>25</v>
      </c>
      <c r="R3" t="s">
        <v>21</v>
      </c>
    </row>
    <row r="4" spans="1:18" x14ac:dyDescent="0.25">
      <c r="A4" s="8" t="s">
        <v>36</v>
      </c>
      <c r="B4" t="str">
        <f>VLOOKUP(A4,Sayfa2!A:B,2,0)</f>
        <v>12 PK 8M 1760</v>
      </c>
      <c r="C4" t="s">
        <v>18</v>
      </c>
      <c r="D4">
        <f>VLOOKUP(A4,Sayfa2!O:P,2,0)</f>
        <v>14.5</v>
      </c>
      <c r="G4" t="s">
        <v>19</v>
      </c>
      <c r="H4">
        <f>VLOOKUP(A4,Sayfa2!K:L,2,0)</f>
        <v>1760</v>
      </c>
      <c r="I4" t="s">
        <v>20</v>
      </c>
      <c r="J4" t="s">
        <v>21</v>
      </c>
      <c r="K4" t="s">
        <v>22</v>
      </c>
      <c r="L4" t="str">
        <f>VLOOKUP(A4,Sayfa2!I:J,2,0)</f>
        <v xml:space="preserve"> 8M12PK</v>
      </c>
      <c r="N4" t="s">
        <v>23</v>
      </c>
      <c r="O4" t="s">
        <v>24</v>
      </c>
      <c r="P4">
        <f>VLOOKUP(A4,Sayfa2!M:N,2,0)</f>
        <v>0.75</v>
      </c>
      <c r="Q4" t="s">
        <v>25</v>
      </c>
      <c r="R4" t="s">
        <v>21</v>
      </c>
    </row>
    <row r="5" spans="1:18" x14ac:dyDescent="0.25">
      <c r="A5" s="8" t="s">
        <v>37</v>
      </c>
      <c r="B5" t="str">
        <f>VLOOKUP(A5,Sayfa2!A:B,2,0)</f>
        <v>24 PK 8M 1760</v>
      </c>
      <c r="C5" t="s">
        <v>18</v>
      </c>
      <c r="D5">
        <f>VLOOKUP(A5,Sayfa2!O:P,2,0)</f>
        <v>29</v>
      </c>
      <c r="G5" t="s">
        <v>19</v>
      </c>
      <c r="H5">
        <f>VLOOKUP(A5,Sayfa2!K:L,2,0)</f>
        <v>1760</v>
      </c>
      <c r="I5" t="s">
        <v>20</v>
      </c>
      <c r="J5" t="s">
        <v>21</v>
      </c>
      <c r="K5" t="s">
        <v>22</v>
      </c>
      <c r="L5" t="str">
        <f>VLOOKUP(A5,Sayfa2!I:J,2,0)</f>
        <v xml:space="preserve"> 8M24PK</v>
      </c>
      <c r="N5" t="s">
        <v>23</v>
      </c>
      <c r="O5" t="s">
        <v>24</v>
      </c>
      <c r="P5">
        <f>VLOOKUP(A5,Sayfa2!M:N,2,0)</f>
        <v>1.5</v>
      </c>
      <c r="Q5" t="s">
        <v>25</v>
      </c>
      <c r="R5" t="s">
        <v>21</v>
      </c>
    </row>
    <row r="6" spans="1:18" x14ac:dyDescent="0.25">
      <c r="A6" s="8" t="s">
        <v>38</v>
      </c>
      <c r="B6" t="str">
        <f>VLOOKUP(A6,Sayfa2!A:B,2,0)</f>
        <v>28 PK 8M 1760</v>
      </c>
      <c r="C6" t="s">
        <v>18</v>
      </c>
      <c r="D6">
        <f>VLOOKUP(A6,Sayfa2!O:P,2,0)</f>
        <v>33.200000000000003</v>
      </c>
      <c r="G6" t="s">
        <v>19</v>
      </c>
      <c r="H6">
        <f>VLOOKUP(A6,Sayfa2!K:L,2,0)</f>
        <v>1760</v>
      </c>
      <c r="I6" t="s">
        <v>20</v>
      </c>
      <c r="J6" t="s">
        <v>21</v>
      </c>
      <c r="K6" t="s">
        <v>22</v>
      </c>
      <c r="L6" t="str">
        <f>VLOOKUP(A6,Sayfa2!I:J,2,0)</f>
        <v xml:space="preserve"> 8M28PK</v>
      </c>
      <c r="N6" t="s">
        <v>23</v>
      </c>
      <c r="O6" t="s">
        <v>24</v>
      </c>
      <c r="P6">
        <f>VLOOKUP(A6,Sayfa2!M:N,2,0)</f>
        <v>1.75</v>
      </c>
      <c r="Q6" t="s">
        <v>25</v>
      </c>
      <c r="R6" t="s">
        <v>21</v>
      </c>
    </row>
    <row r="7" spans="1:18" x14ac:dyDescent="0.25">
      <c r="A7" s="8" t="s">
        <v>39</v>
      </c>
      <c r="B7" t="str">
        <f>VLOOKUP(A7,Sayfa2!A:B,2,0)</f>
        <v>36 PK 8M 1760</v>
      </c>
      <c r="C7" t="s">
        <v>18</v>
      </c>
      <c r="D7">
        <f>VLOOKUP(A7,Sayfa2!O:P,2,0)</f>
        <v>38.573999999999998</v>
      </c>
      <c r="G7" t="s">
        <v>19</v>
      </c>
      <c r="H7">
        <f>VLOOKUP(A7,Sayfa2!K:L,2,0)</f>
        <v>1760</v>
      </c>
      <c r="I7" t="s">
        <v>20</v>
      </c>
      <c r="J7" t="s">
        <v>21</v>
      </c>
      <c r="K7" t="s">
        <v>22</v>
      </c>
      <c r="L7" t="str">
        <f>VLOOKUP(A7,Sayfa2!I:J,2,0)</f>
        <v xml:space="preserve"> 8M36PK</v>
      </c>
      <c r="N7" t="s">
        <v>23</v>
      </c>
      <c r="O7" t="s">
        <v>24</v>
      </c>
      <c r="P7">
        <f>VLOOKUP(A7,Sayfa2!M:N,2,0)</f>
        <v>2.25</v>
      </c>
      <c r="Q7" t="s">
        <v>25</v>
      </c>
      <c r="R7" t="s">
        <v>21</v>
      </c>
    </row>
    <row r="8" spans="1:18" x14ac:dyDescent="0.25">
      <c r="A8" s="8" t="s">
        <v>40</v>
      </c>
      <c r="B8" t="str">
        <f>VLOOKUP(A8,Sayfa2!A:B,2,0)</f>
        <v>36 PK 8M 2800</v>
      </c>
      <c r="C8" t="s">
        <v>18</v>
      </c>
      <c r="D8">
        <f>VLOOKUP(A8,Sayfa2!O:P,2,0)</f>
        <v>61.366999999999997</v>
      </c>
      <c r="G8" t="s">
        <v>19</v>
      </c>
      <c r="H8">
        <f>VLOOKUP(A8,Sayfa2!K:L,2,0)</f>
        <v>2800</v>
      </c>
      <c r="I8" t="s">
        <v>20</v>
      </c>
      <c r="J8" t="s">
        <v>21</v>
      </c>
      <c r="K8" t="s">
        <v>22</v>
      </c>
      <c r="L8" t="str">
        <f>VLOOKUP(A8,Sayfa2!I:J,2,0)</f>
        <v xml:space="preserve"> 8M36PK</v>
      </c>
      <c r="N8" t="s">
        <v>23</v>
      </c>
      <c r="O8" t="s">
        <v>24</v>
      </c>
      <c r="P8">
        <f>VLOOKUP(A8,Sayfa2!M:N,2,0)</f>
        <v>3.6</v>
      </c>
      <c r="Q8" t="s">
        <v>25</v>
      </c>
      <c r="R8" t="s">
        <v>21</v>
      </c>
    </row>
    <row r="9" spans="1:18" x14ac:dyDescent="0.25">
      <c r="A9" s="8" t="s">
        <v>41</v>
      </c>
      <c r="B9" t="str">
        <f>VLOOKUP(A9,Sayfa2!A:B,2,0)</f>
        <v>36 PK 14M 1764</v>
      </c>
      <c r="C9" t="s">
        <v>18</v>
      </c>
      <c r="D9">
        <f>VLOOKUP(A9,Sayfa2!O:P,2,0)</f>
        <v>58.265999999999998</v>
      </c>
      <c r="G9" t="s">
        <v>19</v>
      </c>
      <c r="H9">
        <f>VLOOKUP(A9,Sayfa2!K:L,2,0)</f>
        <v>1764</v>
      </c>
      <c r="I9" t="s">
        <v>20</v>
      </c>
      <c r="J9" t="s">
        <v>21</v>
      </c>
      <c r="K9" t="s">
        <v>22</v>
      </c>
      <c r="L9" t="str">
        <f>VLOOKUP(A9,Sayfa2!I:J,2,0)</f>
        <v>14M36PK</v>
      </c>
      <c r="N9" t="s">
        <v>23</v>
      </c>
      <c r="O9" t="s">
        <v>24</v>
      </c>
      <c r="P9">
        <f>VLOOKUP(A9,Sayfa2!M:N,2,0)</f>
        <v>3</v>
      </c>
      <c r="Q9" t="s">
        <v>25</v>
      </c>
      <c r="R9" t="s">
        <v>21</v>
      </c>
    </row>
    <row r="10" spans="1:18" x14ac:dyDescent="0.25">
      <c r="A10" s="8" t="s">
        <v>42</v>
      </c>
      <c r="B10" t="str">
        <f>VLOOKUP(A10,Sayfa2!A:B,2,0)</f>
        <v>120 PK 8M 1552</v>
      </c>
      <c r="C10" t="s">
        <v>18</v>
      </c>
      <c r="D10">
        <f>VLOOKUP(A10,Sayfa2!O:P,2,0)</f>
        <v>113.4</v>
      </c>
      <c r="G10" t="s">
        <v>19</v>
      </c>
      <c r="H10">
        <f>VLOOKUP(A10,Sayfa2!K:L,2,0)</f>
        <v>1552</v>
      </c>
      <c r="I10" t="s">
        <v>20</v>
      </c>
      <c r="J10" t="s">
        <v>21</v>
      </c>
      <c r="K10" t="s">
        <v>22</v>
      </c>
      <c r="L10" t="str">
        <f>VLOOKUP(A10,Sayfa2!I:J,2,0)</f>
        <v xml:space="preserve"> 8M120PK</v>
      </c>
      <c r="N10" t="s">
        <v>23</v>
      </c>
      <c r="O10" t="s">
        <v>24</v>
      </c>
      <c r="P10">
        <f>VLOOKUP(A10,Sayfa2!M:N,2,0)</f>
        <v>6.7</v>
      </c>
      <c r="Q10" t="s">
        <v>25</v>
      </c>
      <c r="R10" t="s">
        <v>21</v>
      </c>
    </row>
    <row r="11" spans="1:18" x14ac:dyDescent="0.25">
      <c r="A11" s="8" t="s">
        <v>43</v>
      </c>
      <c r="B11" t="str">
        <f>VLOOKUP(A11,Sayfa2!A:B,2,0)</f>
        <v>120 PK 8M 1760</v>
      </c>
      <c r="C11" t="s">
        <v>18</v>
      </c>
      <c r="D11">
        <f>VLOOKUP(A11,Sayfa2!O:P,2,0)</f>
        <v>128.583</v>
      </c>
      <c r="G11" t="s">
        <v>19</v>
      </c>
      <c r="H11">
        <f>VLOOKUP(A11,Sayfa2!K:L,2,0)</f>
        <v>1760</v>
      </c>
      <c r="I11" t="s">
        <v>20</v>
      </c>
      <c r="J11" t="s">
        <v>21</v>
      </c>
      <c r="K11" t="s">
        <v>22</v>
      </c>
      <c r="L11" t="str">
        <f>VLOOKUP(A11,Sayfa2!I:J,2,0)</f>
        <v xml:space="preserve"> 8M120PK</v>
      </c>
      <c r="N11" t="s">
        <v>23</v>
      </c>
      <c r="O11" t="s">
        <v>24</v>
      </c>
      <c r="P11">
        <f>VLOOKUP(A11,Sayfa2!M:N,2,0)</f>
        <v>7.6</v>
      </c>
      <c r="Q11" t="s">
        <v>25</v>
      </c>
      <c r="R11" t="s">
        <v>21</v>
      </c>
    </row>
    <row r="12" spans="1:18" x14ac:dyDescent="0.25">
      <c r="A12" s="8" t="s">
        <v>44</v>
      </c>
      <c r="B12" t="str">
        <f>VLOOKUP(A12,Sayfa2!A:B,2,0)</f>
        <v>119 PK 8M 2400</v>
      </c>
      <c r="C12" t="s">
        <v>18</v>
      </c>
      <c r="D12">
        <f>VLOOKUP(A12,Sayfa2!O:P,2,0)</f>
        <v>175.36</v>
      </c>
      <c r="G12" t="s">
        <v>19</v>
      </c>
      <c r="H12">
        <f>VLOOKUP(A12,Sayfa2!K:L,2,0)</f>
        <v>2400</v>
      </c>
      <c r="I12" t="s">
        <v>20</v>
      </c>
      <c r="J12" t="s">
        <v>21</v>
      </c>
      <c r="K12" t="s">
        <v>22</v>
      </c>
      <c r="L12" t="str">
        <f>VLOOKUP(A12,Sayfa2!I:J,2,0)</f>
        <v xml:space="preserve"> 8M120PK</v>
      </c>
      <c r="N12" t="s">
        <v>23</v>
      </c>
      <c r="O12" t="s">
        <v>24</v>
      </c>
      <c r="P12">
        <f>VLOOKUP(A12,Sayfa2!M:N,2,0)</f>
        <v>10.5</v>
      </c>
      <c r="Q12" t="s">
        <v>25</v>
      </c>
      <c r="R12" t="s">
        <v>21</v>
      </c>
    </row>
    <row r="13" spans="1:18" x14ac:dyDescent="0.25">
      <c r="A13" s="8" t="s">
        <v>45</v>
      </c>
      <c r="B13" t="str">
        <f>VLOOKUP(A13,Sayfa2!A:B,2,0)</f>
        <v>120 PK 8M 2800</v>
      </c>
      <c r="C13" t="s">
        <v>18</v>
      </c>
      <c r="D13">
        <f>VLOOKUP(A13,Sayfa2!O:P,2,0)</f>
        <v>204.6</v>
      </c>
      <c r="G13" t="s">
        <v>19</v>
      </c>
      <c r="H13">
        <f>VLOOKUP(A13,Sayfa2!K:L,2,0)</f>
        <v>2800</v>
      </c>
      <c r="I13" t="s">
        <v>20</v>
      </c>
      <c r="J13" t="s">
        <v>21</v>
      </c>
      <c r="K13" t="s">
        <v>22</v>
      </c>
      <c r="L13" t="str">
        <f>VLOOKUP(A13,Sayfa2!I:J,2,0)</f>
        <v xml:space="preserve"> 8M120PK</v>
      </c>
      <c r="N13" t="s">
        <v>23</v>
      </c>
      <c r="O13" t="s">
        <v>24</v>
      </c>
      <c r="P13">
        <f>VLOOKUP(A13,Sayfa2!M:N,2,0)</f>
        <v>12.5</v>
      </c>
      <c r="Q13" t="s">
        <v>25</v>
      </c>
      <c r="R13" t="s">
        <v>21</v>
      </c>
    </row>
    <row r="14" spans="1:18" x14ac:dyDescent="0.25">
      <c r="A14" s="23" t="s">
        <v>46</v>
      </c>
      <c r="B14" t="str">
        <f>VLOOKUP(A14,Sayfa2!A:B,2,0)</f>
        <v>10-S5M-100M R</v>
      </c>
      <c r="C14" t="s">
        <v>18</v>
      </c>
      <c r="D14">
        <f>VLOOKUP(A14,Sayfa2!O:P,2,0)</f>
        <v>0.62</v>
      </c>
      <c r="G14" t="s">
        <v>19</v>
      </c>
      <c r="H14">
        <f>VLOOKUP(A14,Sayfa2!K:L,2,0)</f>
        <v>100</v>
      </c>
      <c r="I14" t="s">
        <v>20</v>
      </c>
      <c r="J14" t="s">
        <v>21</v>
      </c>
      <c r="K14" t="s">
        <v>22</v>
      </c>
      <c r="L14" t="str">
        <f>VLOOKUP(A14,Sayfa2!I:J,2,0)</f>
        <v>S5M10</v>
      </c>
      <c r="N14" t="s">
        <v>23</v>
      </c>
      <c r="O14" t="s">
        <v>24</v>
      </c>
      <c r="P14">
        <f>VLOOKUP(A14,Sayfa2!M:N,2,0)</f>
        <v>4.5</v>
      </c>
      <c r="Q14" t="s">
        <v>25</v>
      </c>
      <c r="R14" t="s">
        <v>21</v>
      </c>
    </row>
    <row r="15" spans="1:18" x14ac:dyDescent="0.25">
      <c r="A15" s="23" t="s">
        <v>47</v>
      </c>
      <c r="B15" t="str">
        <f>VLOOKUP(A15,Sayfa2!A:B,2,0)</f>
        <v>10-S8M-125M R</v>
      </c>
      <c r="C15" t="s">
        <v>18</v>
      </c>
      <c r="D15">
        <f>VLOOKUP(A15,Sayfa2!O:P,2,0)</f>
        <v>0.62</v>
      </c>
      <c r="G15" t="s">
        <v>19</v>
      </c>
      <c r="H15">
        <f>VLOOKUP(A15,Sayfa2!K:L,2,0)</f>
        <v>125</v>
      </c>
      <c r="I15" t="s">
        <v>20</v>
      </c>
      <c r="J15" t="s">
        <v>21</v>
      </c>
      <c r="K15" t="s">
        <v>22</v>
      </c>
      <c r="L15" t="str">
        <f>VLOOKUP(A15,Sayfa2!I:J,2,0)</f>
        <v>S8M10</v>
      </c>
      <c r="N15" t="s">
        <v>23</v>
      </c>
      <c r="O15" t="s">
        <v>24</v>
      </c>
      <c r="P15">
        <f>VLOOKUP(A15,Sayfa2!M:N,2,0)</f>
        <v>8.0500000000000007</v>
      </c>
      <c r="Q15" t="s">
        <v>25</v>
      </c>
      <c r="R15" t="s">
        <v>21</v>
      </c>
    </row>
    <row r="16" spans="1:18" x14ac:dyDescent="0.25">
      <c r="A16" s="23" t="s">
        <v>48</v>
      </c>
      <c r="B16" t="str">
        <f>VLOOKUP(A16,Sayfa2!A:B,2,0)</f>
        <v>12-S5M-125M R</v>
      </c>
      <c r="C16" t="s">
        <v>18</v>
      </c>
      <c r="D16">
        <f>VLOOKUP(A16,Sayfa2!O:P,2,0)</f>
        <v>0.65700000000000003</v>
      </c>
      <c r="G16" t="s">
        <v>19</v>
      </c>
      <c r="H16">
        <f>VLOOKUP(A16,Sayfa2!K:L,2,0)</f>
        <v>125</v>
      </c>
      <c r="I16" t="s">
        <v>20</v>
      </c>
      <c r="J16" t="s">
        <v>21</v>
      </c>
      <c r="K16" t="s">
        <v>22</v>
      </c>
      <c r="L16" t="str">
        <f>VLOOKUP(A16,Sayfa2!I:J,2,0)</f>
        <v>S5M12</v>
      </c>
      <c r="N16" t="s">
        <v>23</v>
      </c>
      <c r="O16" t="s">
        <v>24</v>
      </c>
      <c r="P16">
        <f>VLOOKUP(A16,Sayfa2!M:N,2,0)</f>
        <v>6.69</v>
      </c>
      <c r="Q16" t="s">
        <v>25</v>
      </c>
      <c r="R16" t="s">
        <v>21</v>
      </c>
    </row>
    <row r="17" spans="1:18" x14ac:dyDescent="0.25">
      <c r="A17" s="23" t="s">
        <v>49</v>
      </c>
      <c r="B17" t="str">
        <f>VLOOKUP(A17,Sayfa2!A:B,2,0)</f>
        <v>12-S8M-100M R</v>
      </c>
      <c r="C17" t="s">
        <v>18</v>
      </c>
      <c r="D17">
        <f>VLOOKUP(A17,Sayfa2!O:P,2,0)</f>
        <v>0.65700000000000003</v>
      </c>
      <c r="G17" t="s">
        <v>19</v>
      </c>
      <c r="H17">
        <f>VLOOKUP(A17,Sayfa2!K:L,2,0)</f>
        <v>100</v>
      </c>
      <c r="I17" t="s">
        <v>20</v>
      </c>
      <c r="J17" t="s">
        <v>21</v>
      </c>
      <c r="K17" t="s">
        <v>22</v>
      </c>
      <c r="L17" t="str">
        <f>VLOOKUP(A17,Sayfa2!I:J,2,0)</f>
        <v>S8M12</v>
      </c>
      <c r="N17" t="s">
        <v>23</v>
      </c>
      <c r="O17" t="s">
        <v>24</v>
      </c>
      <c r="P17">
        <f>VLOOKUP(A17,Sayfa2!M:N,2,0)</f>
        <v>7.68</v>
      </c>
      <c r="Q17" t="s">
        <v>25</v>
      </c>
      <c r="R17" t="s">
        <v>21</v>
      </c>
    </row>
    <row r="18" spans="1:18" x14ac:dyDescent="0.25">
      <c r="A18" s="23" t="s">
        <v>50</v>
      </c>
      <c r="B18" t="str">
        <f>VLOOKUP(A18,Sayfa2!A:B,2,0)</f>
        <v>15-S5M-100M R</v>
      </c>
      <c r="C18" t="s">
        <v>18</v>
      </c>
      <c r="D18">
        <f>VLOOKUP(A18,Sayfa2!O:P,2,0)</f>
        <v>0.92</v>
      </c>
      <c r="G18" t="s">
        <v>19</v>
      </c>
      <c r="H18">
        <f>VLOOKUP(A18,Sayfa2!K:L,2,0)</f>
        <v>100</v>
      </c>
      <c r="I18" t="s">
        <v>20</v>
      </c>
      <c r="J18" t="s">
        <v>21</v>
      </c>
      <c r="K18" t="s">
        <v>22</v>
      </c>
      <c r="L18" t="str">
        <f>VLOOKUP(A18,Sayfa2!I:J,2,0)</f>
        <v>S5M15</v>
      </c>
      <c r="N18" t="s">
        <v>23</v>
      </c>
      <c r="O18" t="s">
        <v>24</v>
      </c>
      <c r="P18">
        <f>VLOOKUP(A18,Sayfa2!M:N,2,0)</f>
        <v>6.5</v>
      </c>
      <c r="Q18" t="s">
        <v>25</v>
      </c>
      <c r="R18" t="s">
        <v>21</v>
      </c>
    </row>
    <row r="19" spans="1:18" x14ac:dyDescent="0.25">
      <c r="A19" s="23" t="s">
        <v>51</v>
      </c>
      <c r="B19" t="str">
        <f>VLOOKUP(A19,Sayfa2!A:B,2,0)</f>
        <v>15-S8M-100M R</v>
      </c>
      <c r="C19" t="s">
        <v>18</v>
      </c>
      <c r="D19">
        <f>VLOOKUP(A19,Sayfa2!O:P,2,0)</f>
        <v>0.92</v>
      </c>
      <c r="G19" t="s">
        <v>19</v>
      </c>
      <c r="H19">
        <f>VLOOKUP(A19,Sayfa2!K:L,2,0)</f>
        <v>100</v>
      </c>
      <c r="I19" t="s">
        <v>20</v>
      </c>
      <c r="J19" t="s">
        <v>21</v>
      </c>
      <c r="K19" t="s">
        <v>22</v>
      </c>
      <c r="L19" t="str">
        <f>VLOOKUP(A19,Sayfa2!I:J,2,0)</f>
        <v>S8M15</v>
      </c>
      <c r="N19" t="s">
        <v>23</v>
      </c>
      <c r="O19" t="s">
        <v>24</v>
      </c>
      <c r="P19">
        <f>VLOOKUP(A19,Sayfa2!M:N,2,0)</f>
        <v>9.15</v>
      </c>
      <c r="Q19" t="s">
        <v>25</v>
      </c>
      <c r="R19" t="s">
        <v>21</v>
      </c>
    </row>
    <row r="20" spans="1:18" x14ac:dyDescent="0.25">
      <c r="A20" s="4"/>
    </row>
    <row r="21" spans="1:18" x14ac:dyDescent="0.25">
      <c r="A21" s="4"/>
    </row>
    <row r="22" spans="1:18" x14ac:dyDescent="0.25">
      <c r="A22" s="4"/>
    </row>
    <row r="23" spans="1:18" x14ac:dyDescent="0.25">
      <c r="A23" s="4"/>
    </row>
    <row r="24" spans="1:18" x14ac:dyDescent="0.25">
      <c r="A24" s="4"/>
    </row>
    <row r="25" spans="1:18" x14ac:dyDescent="0.25">
      <c r="A25" s="4"/>
    </row>
    <row r="26" spans="1:18" x14ac:dyDescent="0.25">
      <c r="A26" s="4"/>
    </row>
    <row r="27" spans="1:18" x14ac:dyDescent="0.25">
      <c r="A27" s="4"/>
    </row>
    <row r="28" spans="1:18" x14ac:dyDescent="0.25">
      <c r="A28" s="4"/>
    </row>
    <row r="29" spans="1:18" x14ac:dyDescent="0.25">
      <c r="A29" s="4"/>
    </row>
    <row r="30" spans="1:18" x14ac:dyDescent="0.25">
      <c r="A30" s="4"/>
    </row>
    <row r="31" spans="1:18" x14ac:dyDescent="0.25">
      <c r="A31" s="4"/>
    </row>
    <row r="32" spans="1:18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5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5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  <row r="1001" spans="1:1" x14ac:dyDescent="0.25">
      <c r="A1001" s="4"/>
    </row>
    <row r="1002" spans="1:1" x14ac:dyDescent="0.25">
      <c r="A1002" s="4"/>
    </row>
    <row r="1003" spans="1:1" x14ac:dyDescent="0.25">
      <c r="A1003" s="4"/>
    </row>
    <row r="1004" spans="1:1" x14ac:dyDescent="0.25">
      <c r="A1004" s="4"/>
    </row>
    <row r="1005" spans="1:1" x14ac:dyDescent="0.25">
      <c r="A1005" s="4"/>
    </row>
    <row r="1006" spans="1:1" x14ac:dyDescent="0.25">
      <c r="A1006" s="4"/>
    </row>
    <row r="1007" spans="1:1" x14ac:dyDescent="0.25">
      <c r="A1007" s="4"/>
    </row>
    <row r="1008" spans="1:1" x14ac:dyDescent="0.25">
      <c r="A1008" s="4"/>
    </row>
    <row r="1009" spans="1:1" x14ac:dyDescent="0.25">
      <c r="A1009" s="4"/>
    </row>
    <row r="1010" spans="1:1" x14ac:dyDescent="0.25">
      <c r="A1010" s="4"/>
    </row>
    <row r="1011" spans="1:1" x14ac:dyDescent="0.25">
      <c r="A1011" s="4"/>
    </row>
    <row r="1012" spans="1:1" x14ac:dyDescent="0.25">
      <c r="A1012" s="4"/>
    </row>
    <row r="1013" spans="1:1" x14ac:dyDescent="0.25">
      <c r="A1013" s="4"/>
    </row>
    <row r="1014" spans="1:1" x14ac:dyDescent="0.25">
      <c r="A1014" s="4"/>
    </row>
    <row r="1015" spans="1:1" x14ac:dyDescent="0.25">
      <c r="A1015" s="4"/>
    </row>
    <row r="1016" spans="1:1" x14ac:dyDescent="0.25">
      <c r="A1016" s="4"/>
    </row>
    <row r="1017" spans="1:1" x14ac:dyDescent="0.25">
      <c r="A1017" s="4"/>
    </row>
    <row r="1018" spans="1:1" x14ac:dyDescent="0.25">
      <c r="A1018" s="4"/>
    </row>
    <row r="1019" spans="1:1" x14ac:dyDescent="0.25">
      <c r="A1019" s="4"/>
    </row>
    <row r="1020" spans="1:1" x14ac:dyDescent="0.25">
      <c r="A1020" s="4"/>
    </row>
    <row r="1021" spans="1:1" x14ac:dyDescent="0.25">
      <c r="A1021" s="4"/>
    </row>
    <row r="1022" spans="1:1" x14ac:dyDescent="0.25">
      <c r="A1022" s="4"/>
    </row>
    <row r="1023" spans="1:1" x14ac:dyDescent="0.25">
      <c r="A1023" s="4"/>
    </row>
    <row r="1024" spans="1:1" x14ac:dyDescent="0.25">
      <c r="A1024" s="4"/>
    </row>
    <row r="1025" spans="1:1" x14ac:dyDescent="0.25">
      <c r="A1025" s="4"/>
    </row>
    <row r="1026" spans="1:1" x14ac:dyDescent="0.25">
      <c r="A1026" s="4"/>
    </row>
    <row r="1027" spans="1:1" x14ac:dyDescent="0.25">
      <c r="A1027" s="4"/>
    </row>
    <row r="1028" spans="1:1" x14ac:dyDescent="0.25">
      <c r="A1028" s="4"/>
    </row>
    <row r="1029" spans="1:1" x14ac:dyDescent="0.25">
      <c r="A1029" s="4"/>
    </row>
    <row r="1030" spans="1:1" x14ac:dyDescent="0.25">
      <c r="A1030" s="4"/>
    </row>
    <row r="1031" spans="1:1" x14ac:dyDescent="0.25">
      <c r="A1031" s="4"/>
    </row>
    <row r="1032" spans="1:1" x14ac:dyDescent="0.25">
      <c r="A1032" s="4"/>
    </row>
    <row r="1033" spans="1:1" x14ac:dyDescent="0.25">
      <c r="A1033" s="4"/>
    </row>
    <row r="1034" spans="1:1" x14ac:dyDescent="0.25">
      <c r="A1034" s="4"/>
    </row>
    <row r="1035" spans="1:1" x14ac:dyDescent="0.25">
      <c r="A1035" s="4"/>
    </row>
    <row r="1036" spans="1:1" x14ac:dyDescent="0.25">
      <c r="A1036" s="4"/>
    </row>
    <row r="1037" spans="1:1" x14ac:dyDescent="0.25">
      <c r="A1037" s="4"/>
    </row>
    <row r="1038" spans="1:1" x14ac:dyDescent="0.25">
      <c r="A1038" s="4"/>
    </row>
    <row r="1039" spans="1:1" x14ac:dyDescent="0.25">
      <c r="A1039" s="4"/>
    </row>
    <row r="1040" spans="1:1" x14ac:dyDescent="0.25">
      <c r="A1040" s="4"/>
    </row>
    <row r="1041" spans="1:1" x14ac:dyDescent="0.25">
      <c r="A1041" s="4"/>
    </row>
    <row r="1042" spans="1:1" x14ac:dyDescent="0.25">
      <c r="A1042" s="4"/>
    </row>
    <row r="1043" spans="1:1" x14ac:dyDescent="0.25">
      <c r="A1043" s="4"/>
    </row>
    <row r="1044" spans="1:1" x14ac:dyDescent="0.25">
      <c r="A1044" s="4"/>
    </row>
    <row r="1045" spans="1:1" x14ac:dyDescent="0.25">
      <c r="A1045" s="4"/>
    </row>
    <row r="1046" spans="1:1" x14ac:dyDescent="0.25">
      <c r="A1046" s="4"/>
    </row>
    <row r="1047" spans="1:1" x14ac:dyDescent="0.25">
      <c r="A1047" s="4"/>
    </row>
    <row r="1048" spans="1:1" x14ac:dyDescent="0.25">
      <c r="A1048" s="4"/>
    </row>
    <row r="1049" spans="1:1" x14ac:dyDescent="0.25">
      <c r="A1049" s="4"/>
    </row>
    <row r="1050" spans="1:1" x14ac:dyDescent="0.25">
      <c r="A1050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7" spans="1:1" x14ac:dyDescent="0.25">
      <c r="A1057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064" spans="1:1" x14ac:dyDescent="0.25">
      <c r="A1064" s="4"/>
    </row>
    <row r="1065" spans="1:1" x14ac:dyDescent="0.25">
      <c r="A1065" s="4"/>
    </row>
    <row r="1066" spans="1:1" x14ac:dyDescent="0.25">
      <c r="A1066" s="4"/>
    </row>
    <row r="1067" spans="1:1" x14ac:dyDescent="0.25">
      <c r="A1067" s="4"/>
    </row>
    <row r="1068" spans="1:1" x14ac:dyDescent="0.25">
      <c r="A1068" s="4"/>
    </row>
    <row r="1069" spans="1:1" x14ac:dyDescent="0.25">
      <c r="A1069" s="4"/>
    </row>
    <row r="1070" spans="1:1" x14ac:dyDescent="0.25">
      <c r="A1070" s="4"/>
    </row>
    <row r="1071" spans="1:1" x14ac:dyDescent="0.25">
      <c r="A1071" s="4"/>
    </row>
    <row r="1072" spans="1:1" x14ac:dyDescent="0.25">
      <c r="A1072" s="4"/>
    </row>
    <row r="1073" spans="1:1" x14ac:dyDescent="0.25">
      <c r="A1073" s="4"/>
    </row>
    <row r="1074" spans="1:1" x14ac:dyDescent="0.25">
      <c r="A1074" s="4"/>
    </row>
    <row r="1075" spans="1:1" x14ac:dyDescent="0.25">
      <c r="A1075" s="4"/>
    </row>
    <row r="1076" spans="1:1" x14ac:dyDescent="0.25">
      <c r="A1076" s="4"/>
    </row>
    <row r="1077" spans="1:1" x14ac:dyDescent="0.25">
      <c r="A1077" s="4"/>
    </row>
    <row r="1078" spans="1:1" x14ac:dyDescent="0.25">
      <c r="A1078" s="4"/>
    </row>
    <row r="1079" spans="1:1" x14ac:dyDescent="0.25">
      <c r="A1079" s="4"/>
    </row>
    <row r="1080" spans="1:1" x14ac:dyDescent="0.25">
      <c r="A1080" s="4"/>
    </row>
    <row r="1081" spans="1:1" x14ac:dyDescent="0.25">
      <c r="A1081" s="4"/>
    </row>
    <row r="1082" spans="1:1" x14ac:dyDescent="0.25">
      <c r="A1082" s="4"/>
    </row>
    <row r="1083" spans="1:1" x14ac:dyDescent="0.25">
      <c r="A1083" s="4"/>
    </row>
    <row r="1084" spans="1:1" x14ac:dyDescent="0.25">
      <c r="A1084" s="4"/>
    </row>
    <row r="1085" spans="1:1" x14ac:dyDescent="0.25">
      <c r="A1085" s="4"/>
    </row>
    <row r="1086" spans="1:1" x14ac:dyDescent="0.25">
      <c r="A1086" s="4"/>
    </row>
    <row r="1087" spans="1:1" x14ac:dyDescent="0.25">
      <c r="A1087" s="4"/>
    </row>
    <row r="1088" spans="1:1" x14ac:dyDescent="0.25">
      <c r="A1088" s="4"/>
    </row>
    <row r="1089" spans="1:1" x14ac:dyDescent="0.25">
      <c r="A1089" s="4"/>
    </row>
    <row r="1090" spans="1:1" x14ac:dyDescent="0.25">
      <c r="A1090" s="4"/>
    </row>
    <row r="1091" spans="1:1" x14ac:dyDescent="0.25">
      <c r="A1091" s="4"/>
    </row>
    <row r="1092" spans="1:1" x14ac:dyDescent="0.25">
      <c r="A1092" s="4"/>
    </row>
    <row r="1093" spans="1:1" x14ac:dyDescent="0.25">
      <c r="A1093" s="4"/>
    </row>
    <row r="1094" spans="1:1" x14ac:dyDescent="0.25">
      <c r="A1094" s="4"/>
    </row>
    <row r="1095" spans="1:1" x14ac:dyDescent="0.25">
      <c r="A1095" s="4"/>
    </row>
    <row r="1096" spans="1:1" x14ac:dyDescent="0.25">
      <c r="A1096" s="4"/>
    </row>
    <row r="1097" spans="1:1" x14ac:dyDescent="0.25">
      <c r="A1097" s="4"/>
    </row>
    <row r="1098" spans="1:1" x14ac:dyDescent="0.25">
      <c r="A1098" s="4"/>
    </row>
    <row r="1099" spans="1:1" x14ac:dyDescent="0.25">
      <c r="A1099" s="4"/>
    </row>
    <row r="1100" spans="1:1" x14ac:dyDescent="0.25">
      <c r="A1100" s="4"/>
    </row>
    <row r="1101" spans="1:1" x14ac:dyDescent="0.25">
      <c r="A1101" s="4"/>
    </row>
    <row r="1102" spans="1:1" x14ac:dyDescent="0.25">
      <c r="A1102" s="4"/>
    </row>
    <row r="1103" spans="1:1" x14ac:dyDescent="0.25">
      <c r="A1103" s="4"/>
    </row>
    <row r="1104" spans="1:1" x14ac:dyDescent="0.25">
      <c r="A1104" s="4"/>
    </row>
    <row r="1105" spans="1:1" x14ac:dyDescent="0.25">
      <c r="A1105" s="4"/>
    </row>
    <row r="1106" spans="1:1" x14ac:dyDescent="0.25">
      <c r="A1106" s="4"/>
    </row>
    <row r="1107" spans="1:1" x14ac:dyDescent="0.25">
      <c r="A1107" s="4"/>
    </row>
    <row r="1108" spans="1:1" x14ac:dyDescent="0.25">
      <c r="A1108" s="4"/>
    </row>
    <row r="1109" spans="1:1" x14ac:dyDescent="0.25">
      <c r="A1109" s="4"/>
    </row>
    <row r="1110" spans="1:1" x14ac:dyDescent="0.25">
      <c r="A1110" s="4"/>
    </row>
    <row r="1111" spans="1:1" x14ac:dyDescent="0.25">
      <c r="A1111" s="4"/>
    </row>
    <row r="1112" spans="1:1" x14ac:dyDescent="0.25">
      <c r="A1112" s="4"/>
    </row>
    <row r="1113" spans="1:1" x14ac:dyDescent="0.25">
      <c r="A1113" s="4"/>
    </row>
    <row r="1114" spans="1:1" x14ac:dyDescent="0.25">
      <c r="A1114" s="4"/>
    </row>
    <row r="1115" spans="1:1" x14ac:dyDescent="0.25">
      <c r="A1115" s="4"/>
    </row>
    <row r="1116" spans="1:1" x14ac:dyDescent="0.25">
      <c r="A1116" s="4"/>
    </row>
    <row r="1117" spans="1:1" x14ac:dyDescent="0.25">
      <c r="A1117" s="4"/>
    </row>
    <row r="1118" spans="1:1" x14ac:dyDescent="0.25">
      <c r="A1118" s="4"/>
    </row>
    <row r="1119" spans="1:1" x14ac:dyDescent="0.25">
      <c r="A1119" s="4"/>
    </row>
    <row r="1120" spans="1:1" x14ac:dyDescent="0.25">
      <c r="A1120" s="4"/>
    </row>
    <row r="1121" spans="1:1" x14ac:dyDescent="0.25">
      <c r="A1121" s="4"/>
    </row>
    <row r="1122" spans="1:1" x14ac:dyDescent="0.25">
      <c r="A1122" s="4"/>
    </row>
    <row r="1123" spans="1:1" x14ac:dyDescent="0.25">
      <c r="A1123" s="4"/>
    </row>
    <row r="1124" spans="1:1" x14ac:dyDescent="0.25">
      <c r="A1124" s="4"/>
    </row>
    <row r="1125" spans="1:1" x14ac:dyDescent="0.25">
      <c r="A1125" s="4"/>
    </row>
    <row r="1126" spans="1:1" x14ac:dyDescent="0.25">
      <c r="A1126" s="4"/>
    </row>
    <row r="1127" spans="1:1" x14ac:dyDescent="0.25">
      <c r="A1127" s="4"/>
    </row>
    <row r="1128" spans="1:1" x14ac:dyDescent="0.25">
      <c r="A1128" s="4"/>
    </row>
    <row r="1129" spans="1:1" x14ac:dyDescent="0.25">
      <c r="A1129" s="4"/>
    </row>
    <row r="1130" spans="1:1" x14ac:dyDescent="0.25">
      <c r="A1130" s="4"/>
    </row>
    <row r="1131" spans="1:1" x14ac:dyDescent="0.25">
      <c r="A1131" s="4"/>
    </row>
    <row r="1132" spans="1:1" x14ac:dyDescent="0.25">
      <c r="A1132" s="4"/>
    </row>
    <row r="1133" spans="1:1" x14ac:dyDescent="0.25">
      <c r="A1133" s="4"/>
    </row>
    <row r="1134" spans="1:1" x14ac:dyDescent="0.25">
      <c r="A1134" s="4"/>
    </row>
    <row r="1135" spans="1:1" x14ac:dyDescent="0.25">
      <c r="A1135" s="4"/>
    </row>
    <row r="1136" spans="1:1" x14ac:dyDescent="0.25">
      <c r="A1136" s="4"/>
    </row>
    <row r="1137" spans="1:1" x14ac:dyDescent="0.25">
      <c r="A1137" s="4"/>
    </row>
    <row r="1138" spans="1:1" x14ac:dyDescent="0.25">
      <c r="A1138" s="4"/>
    </row>
    <row r="1139" spans="1:1" x14ac:dyDescent="0.25">
      <c r="A1139" s="4"/>
    </row>
    <row r="1140" spans="1:1" x14ac:dyDescent="0.25">
      <c r="A1140" s="4"/>
    </row>
    <row r="1141" spans="1:1" x14ac:dyDescent="0.25">
      <c r="A1141" s="4"/>
    </row>
    <row r="1142" spans="1:1" x14ac:dyDescent="0.25">
      <c r="A1142" s="4"/>
    </row>
    <row r="1143" spans="1:1" x14ac:dyDescent="0.25">
      <c r="A1143" s="4"/>
    </row>
    <row r="1144" spans="1:1" x14ac:dyDescent="0.25">
      <c r="A1144" s="4"/>
    </row>
    <row r="1145" spans="1:1" x14ac:dyDescent="0.25">
      <c r="A1145" s="4"/>
    </row>
    <row r="1146" spans="1:1" x14ac:dyDescent="0.25">
      <c r="A1146" s="4"/>
    </row>
    <row r="1147" spans="1:1" x14ac:dyDescent="0.25">
      <c r="A1147" s="4"/>
    </row>
    <row r="1148" spans="1:1" x14ac:dyDescent="0.25">
      <c r="A1148" s="4"/>
    </row>
    <row r="1149" spans="1:1" x14ac:dyDescent="0.25">
      <c r="A1149" s="4"/>
    </row>
    <row r="1150" spans="1:1" x14ac:dyDescent="0.25">
      <c r="A1150" s="4"/>
    </row>
    <row r="1151" spans="1:1" x14ac:dyDescent="0.25">
      <c r="A1151" s="4"/>
    </row>
    <row r="1152" spans="1:1" x14ac:dyDescent="0.25">
      <c r="A1152" s="4"/>
    </row>
    <row r="1153" spans="1:1" x14ac:dyDescent="0.25">
      <c r="A1153" s="4"/>
    </row>
    <row r="1154" spans="1:1" x14ac:dyDescent="0.25">
      <c r="A1154" s="4"/>
    </row>
    <row r="1155" spans="1:1" x14ac:dyDescent="0.25">
      <c r="A1155" s="4"/>
    </row>
    <row r="1156" spans="1:1" x14ac:dyDescent="0.25">
      <c r="A1156" s="4"/>
    </row>
    <row r="1157" spans="1:1" x14ac:dyDescent="0.25">
      <c r="A1157" s="4"/>
    </row>
    <row r="1158" spans="1:1" x14ac:dyDescent="0.25">
      <c r="A1158" s="4"/>
    </row>
    <row r="1159" spans="1:1" x14ac:dyDescent="0.25">
      <c r="A1159" s="4"/>
    </row>
    <row r="1160" spans="1:1" x14ac:dyDescent="0.25">
      <c r="A1160" s="4"/>
    </row>
    <row r="1161" spans="1:1" x14ac:dyDescent="0.25">
      <c r="A1161" s="4"/>
    </row>
    <row r="1162" spans="1:1" x14ac:dyDescent="0.25">
      <c r="A1162" s="4"/>
    </row>
    <row r="1163" spans="1:1" x14ac:dyDescent="0.25">
      <c r="A1163" s="4"/>
    </row>
    <row r="1164" spans="1:1" x14ac:dyDescent="0.25">
      <c r="A1164" s="4"/>
    </row>
    <row r="1165" spans="1:1" x14ac:dyDescent="0.25">
      <c r="A1165" s="4"/>
    </row>
    <row r="1166" spans="1:1" x14ac:dyDescent="0.25">
      <c r="A1166" s="4"/>
    </row>
    <row r="1167" spans="1:1" x14ac:dyDescent="0.25">
      <c r="A1167" s="4"/>
    </row>
    <row r="1168" spans="1:1" x14ac:dyDescent="0.25">
      <c r="A1168" s="4"/>
    </row>
    <row r="1169" spans="1:1" x14ac:dyDescent="0.25">
      <c r="A1169" s="4"/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195" spans="1:1" x14ac:dyDescent="0.25">
      <c r="A1195" s="4"/>
    </row>
    <row r="1196" spans="1:1" x14ac:dyDescent="0.25">
      <c r="A1196" s="4"/>
    </row>
    <row r="1197" spans="1:1" x14ac:dyDescent="0.25">
      <c r="A1197" s="4"/>
    </row>
    <row r="1198" spans="1:1" x14ac:dyDescent="0.25">
      <c r="A1198" s="4"/>
    </row>
    <row r="1199" spans="1:1" x14ac:dyDescent="0.25">
      <c r="A1199" s="4"/>
    </row>
    <row r="1200" spans="1:1" x14ac:dyDescent="0.25">
      <c r="A1200" s="4"/>
    </row>
    <row r="1201" spans="1:1" x14ac:dyDescent="0.25">
      <c r="A1201" s="4"/>
    </row>
    <row r="1202" spans="1:1" x14ac:dyDescent="0.25">
      <c r="A1202" s="4"/>
    </row>
    <row r="1203" spans="1:1" x14ac:dyDescent="0.25">
      <c r="A1203" s="4"/>
    </row>
    <row r="1204" spans="1:1" x14ac:dyDescent="0.25">
      <c r="A1204" s="4"/>
    </row>
    <row r="1205" spans="1:1" x14ac:dyDescent="0.25">
      <c r="A1205" s="4"/>
    </row>
    <row r="1206" spans="1:1" x14ac:dyDescent="0.25">
      <c r="A1206" s="4"/>
    </row>
    <row r="1207" spans="1:1" x14ac:dyDescent="0.25">
      <c r="A1207" s="4"/>
    </row>
    <row r="1208" spans="1:1" x14ac:dyDescent="0.25">
      <c r="A1208" s="4"/>
    </row>
    <row r="1209" spans="1:1" x14ac:dyDescent="0.25">
      <c r="A1209" s="4"/>
    </row>
    <row r="1210" spans="1:1" x14ac:dyDescent="0.25">
      <c r="A1210" s="4"/>
    </row>
    <row r="1211" spans="1:1" x14ac:dyDescent="0.25">
      <c r="A1211" s="4"/>
    </row>
    <row r="1212" spans="1:1" x14ac:dyDescent="0.25">
      <c r="A1212" s="4"/>
    </row>
    <row r="1213" spans="1:1" x14ac:dyDescent="0.25">
      <c r="A1213" s="4"/>
    </row>
    <row r="1214" spans="1:1" x14ac:dyDescent="0.25">
      <c r="A1214" s="4"/>
    </row>
    <row r="1215" spans="1:1" x14ac:dyDescent="0.25">
      <c r="A1215" s="4"/>
    </row>
    <row r="1216" spans="1:1" x14ac:dyDescent="0.25">
      <c r="A1216" s="4"/>
    </row>
    <row r="1217" spans="1:1" x14ac:dyDescent="0.25">
      <c r="A1217" s="4"/>
    </row>
    <row r="1218" spans="1:1" x14ac:dyDescent="0.25">
      <c r="A1218" s="4"/>
    </row>
    <row r="1219" spans="1:1" x14ac:dyDescent="0.25">
      <c r="A1219" s="4"/>
    </row>
    <row r="1220" spans="1:1" x14ac:dyDescent="0.25">
      <c r="A1220" s="4"/>
    </row>
    <row r="1221" spans="1:1" x14ac:dyDescent="0.25">
      <c r="A1221" s="4"/>
    </row>
    <row r="1222" spans="1:1" x14ac:dyDescent="0.25">
      <c r="A1222" s="4"/>
    </row>
    <row r="1223" spans="1:1" x14ac:dyDescent="0.25">
      <c r="A1223" s="4"/>
    </row>
    <row r="1224" spans="1:1" x14ac:dyDescent="0.25">
      <c r="A1224" s="4"/>
    </row>
    <row r="1225" spans="1:1" x14ac:dyDescent="0.25">
      <c r="A1225" s="4"/>
    </row>
    <row r="1226" spans="1:1" x14ac:dyDescent="0.25">
      <c r="A1226" s="4"/>
    </row>
    <row r="1227" spans="1:1" x14ac:dyDescent="0.25">
      <c r="A1227" s="4"/>
    </row>
    <row r="1228" spans="1:1" x14ac:dyDescent="0.25">
      <c r="A1228" s="4"/>
    </row>
    <row r="1229" spans="1:1" x14ac:dyDescent="0.25">
      <c r="A1229" s="4"/>
    </row>
    <row r="1230" spans="1:1" x14ac:dyDescent="0.25">
      <c r="A1230" s="4"/>
    </row>
    <row r="1231" spans="1:1" x14ac:dyDescent="0.25">
      <c r="A1231" s="4"/>
    </row>
    <row r="1232" spans="1:1" x14ac:dyDescent="0.25">
      <c r="A1232" s="4"/>
    </row>
    <row r="1233" spans="1:1" x14ac:dyDescent="0.25">
      <c r="A1233" s="4"/>
    </row>
    <row r="1234" spans="1:1" x14ac:dyDescent="0.25">
      <c r="A1234" s="4"/>
    </row>
    <row r="1235" spans="1:1" x14ac:dyDescent="0.25">
      <c r="A1235" s="4"/>
    </row>
    <row r="1236" spans="1:1" x14ac:dyDescent="0.25">
      <c r="A1236" s="4"/>
    </row>
    <row r="1237" spans="1:1" x14ac:dyDescent="0.25">
      <c r="A1237" s="4"/>
    </row>
    <row r="1238" spans="1:1" x14ac:dyDescent="0.25">
      <c r="A1238" s="4"/>
    </row>
    <row r="1239" spans="1:1" x14ac:dyDescent="0.25">
      <c r="A1239" s="4"/>
    </row>
    <row r="1240" spans="1:1" x14ac:dyDescent="0.25">
      <c r="A1240" s="4"/>
    </row>
    <row r="1241" spans="1:1" x14ac:dyDescent="0.25">
      <c r="A1241" s="4"/>
    </row>
    <row r="1242" spans="1:1" x14ac:dyDescent="0.25">
      <c r="A1242" s="4"/>
    </row>
    <row r="1243" spans="1:1" x14ac:dyDescent="0.25">
      <c r="A1243" s="4"/>
    </row>
    <row r="1244" spans="1:1" x14ac:dyDescent="0.25">
      <c r="A1244" s="4"/>
    </row>
    <row r="1245" spans="1:1" x14ac:dyDescent="0.25">
      <c r="A1245" s="4"/>
    </row>
    <row r="1246" spans="1:1" x14ac:dyDescent="0.25">
      <c r="A1246" s="4"/>
    </row>
    <row r="1247" spans="1:1" x14ac:dyDescent="0.25">
      <c r="A1247" s="4"/>
    </row>
    <row r="1248" spans="1:1" x14ac:dyDescent="0.25">
      <c r="A1248" s="4"/>
    </row>
    <row r="1249" spans="1:1" x14ac:dyDescent="0.25">
      <c r="A1249" s="4"/>
    </row>
    <row r="1250" spans="1:1" x14ac:dyDescent="0.25">
      <c r="A1250" s="4"/>
    </row>
    <row r="1251" spans="1:1" x14ac:dyDescent="0.25">
      <c r="A1251" s="4"/>
    </row>
    <row r="1252" spans="1:1" x14ac:dyDescent="0.25">
      <c r="A1252" s="4"/>
    </row>
    <row r="1253" spans="1:1" x14ac:dyDescent="0.25">
      <c r="A1253" s="4"/>
    </row>
    <row r="1254" spans="1:1" x14ac:dyDescent="0.25">
      <c r="A1254" s="4"/>
    </row>
    <row r="1255" spans="1:1" x14ac:dyDescent="0.25">
      <c r="A1255" s="4"/>
    </row>
    <row r="1256" spans="1:1" x14ac:dyDescent="0.25">
      <c r="A1256" s="4"/>
    </row>
    <row r="1257" spans="1:1" x14ac:dyDescent="0.25">
      <c r="A1257" s="4"/>
    </row>
    <row r="1258" spans="1:1" x14ac:dyDescent="0.25">
      <c r="A1258" s="4"/>
    </row>
    <row r="1259" spans="1:1" x14ac:dyDescent="0.25">
      <c r="A1259" s="4"/>
    </row>
    <row r="1260" spans="1:1" x14ac:dyDescent="0.25">
      <c r="A1260" s="4"/>
    </row>
    <row r="1261" spans="1:1" x14ac:dyDescent="0.25">
      <c r="A1261" s="4"/>
    </row>
    <row r="1262" spans="1:1" x14ac:dyDescent="0.25">
      <c r="A1262" s="4"/>
    </row>
    <row r="1263" spans="1:1" x14ac:dyDescent="0.25">
      <c r="A1263" s="4"/>
    </row>
    <row r="1264" spans="1:1" x14ac:dyDescent="0.25">
      <c r="A1264" s="4"/>
    </row>
    <row r="1265" spans="1:1" x14ac:dyDescent="0.25">
      <c r="A1265" s="4"/>
    </row>
    <row r="1266" spans="1:1" x14ac:dyDescent="0.25">
      <c r="A1266" s="4"/>
    </row>
    <row r="1267" spans="1:1" x14ac:dyDescent="0.25">
      <c r="A1267" s="4"/>
    </row>
    <row r="1268" spans="1:1" x14ac:dyDescent="0.25">
      <c r="A1268" s="4"/>
    </row>
    <row r="1269" spans="1:1" x14ac:dyDescent="0.25">
      <c r="A1269" s="4"/>
    </row>
    <row r="1270" spans="1:1" x14ac:dyDescent="0.25">
      <c r="A1270" s="4"/>
    </row>
    <row r="1271" spans="1:1" x14ac:dyDescent="0.25">
      <c r="A1271" s="4"/>
    </row>
    <row r="1272" spans="1:1" x14ac:dyDescent="0.25">
      <c r="A1272" s="4"/>
    </row>
    <row r="1273" spans="1:1" x14ac:dyDescent="0.25">
      <c r="A1273" s="4"/>
    </row>
    <row r="1274" spans="1:1" x14ac:dyDescent="0.25">
      <c r="A1274" s="4"/>
    </row>
    <row r="1275" spans="1:1" x14ac:dyDescent="0.25">
      <c r="A1275" s="4"/>
    </row>
    <row r="1276" spans="1:1" x14ac:dyDescent="0.25">
      <c r="A1276" s="4"/>
    </row>
    <row r="1277" spans="1:1" x14ac:dyDescent="0.25">
      <c r="A1277" s="4"/>
    </row>
    <row r="1278" spans="1:1" x14ac:dyDescent="0.25">
      <c r="A1278" s="4"/>
    </row>
    <row r="1279" spans="1:1" x14ac:dyDescent="0.25">
      <c r="A1279" s="4"/>
    </row>
    <row r="1280" spans="1:1" x14ac:dyDescent="0.25">
      <c r="A1280" s="4"/>
    </row>
    <row r="1281" spans="1:1" x14ac:dyDescent="0.25">
      <c r="A1281" s="4"/>
    </row>
    <row r="1282" spans="1:1" x14ac:dyDescent="0.25">
      <c r="A1282" s="4"/>
    </row>
    <row r="1283" spans="1:1" x14ac:dyDescent="0.25">
      <c r="A1283" s="4"/>
    </row>
    <row r="1284" spans="1:1" x14ac:dyDescent="0.25">
      <c r="A1284" s="4"/>
    </row>
    <row r="1285" spans="1:1" x14ac:dyDescent="0.25">
      <c r="A1285" s="4"/>
    </row>
    <row r="1286" spans="1:1" x14ac:dyDescent="0.25">
      <c r="A1286" s="4"/>
    </row>
    <row r="1287" spans="1:1" x14ac:dyDescent="0.25">
      <c r="A1287" s="4"/>
    </row>
    <row r="1288" spans="1:1" x14ac:dyDescent="0.25">
      <c r="A1288" s="4"/>
    </row>
    <row r="1289" spans="1:1" x14ac:dyDescent="0.25">
      <c r="A1289" s="4"/>
    </row>
    <row r="1290" spans="1:1" x14ac:dyDescent="0.25">
      <c r="A1290" s="4"/>
    </row>
    <row r="1291" spans="1:1" x14ac:dyDescent="0.25">
      <c r="A1291" s="4"/>
    </row>
    <row r="1292" spans="1:1" x14ac:dyDescent="0.25">
      <c r="A1292" s="4"/>
    </row>
    <row r="1293" spans="1:1" x14ac:dyDescent="0.25">
      <c r="A1293" s="4"/>
    </row>
    <row r="1294" spans="1:1" x14ac:dyDescent="0.25">
      <c r="A1294" s="4"/>
    </row>
    <row r="1295" spans="1:1" x14ac:dyDescent="0.25">
      <c r="A1295" s="4"/>
    </row>
    <row r="1296" spans="1:1" x14ac:dyDescent="0.25">
      <c r="A1296" s="4"/>
    </row>
    <row r="1297" spans="1:1" x14ac:dyDescent="0.25">
      <c r="A1297" s="4"/>
    </row>
    <row r="1298" spans="1:1" x14ac:dyDescent="0.25">
      <c r="A1298" s="4"/>
    </row>
    <row r="1299" spans="1:1" x14ac:dyDescent="0.25">
      <c r="A1299" s="4"/>
    </row>
    <row r="1300" spans="1:1" x14ac:dyDescent="0.25">
      <c r="A1300" s="4"/>
    </row>
    <row r="1301" spans="1:1" x14ac:dyDescent="0.25">
      <c r="A1301" s="4"/>
    </row>
    <row r="1302" spans="1:1" x14ac:dyDescent="0.25">
      <c r="A1302" s="4"/>
    </row>
    <row r="1303" spans="1:1" x14ac:dyDescent="0.25">
      <c r="A1303" s="4"/>
    </row>
    <row r="1304" spans="1:1" x14ac:dyDescent="0.25">
      <c r="A1304" s="4"/>
    </row>
    <row r="1305" spans="1:1" x14ac:dyDescent="0.25">
      <c r="A1305" s="4"/>
    </row>
    <row r="1306" spans="1:1" x14ac:dyDescent="0.25">
      <c r="A1306" s="4"/>
    </row>
    <row r="1307" spans="1:1" x14ac:dyDescent="0.25">
      <c r="A1307" s="4"/>
    </row>
    <row r="1308" spans="1:1" x14ac:dyDescent="0.25">
      <c r="A1308" s="4"/>
    </row>
    <row r="1309" spans="1:1" x14ac:dyDescent="0.25">
      <c r="A1309" s="4"/>
    </row>
    <row r="1310" spans="1:1" x14ac:dyDescent="0.25">
      <c r="A1310" s="4"/>
    </row>
    <row r="1311" spans="1:1" x14ac:dyDescent="0.25">
      <c r="A1311" s="4"/>
    </row>
    <row r="1312" spans="1:1" x14ac:dyDescent="0.25">
      <c r="A1312" s="4"/>
    </row>
    <row r="1313" spans="1:1" x14ac:dyDescent="0.25">
      <c r="A1313" s="4"/>
    </row>
    <row r="1314" spans="1:1" x14ac:dyDescent="0.25">
      <c r="A1314" s="4"/>
    </row>
    <row r="1315" spans="1:1" x14ac:dyDescent="0.25">
      <c r="A1315" s="4"/>
    </row>
    <row r="1316" spans="1:1" x14ac:dyDescent="0.25">
      <c r="A1316" s="4"/>
    </row>
    <row r="1317" spans="1:1" x14ac:dyDescent="0.25">
      <c r="A1317" s="4"/>
    </row>
    <row r="1318" spans="1:1" x14ac:dyDescent="0.25">
      <c r="A1318" s="4"/>
    </row>
    <row r="1319" spans="1:1" x14ac:dyDescent="0.25">
      <c r="A1319" s="4"/>
    </row>
    <row r="1320" spans="1:1" x14ac:dyDescent="0.25">
      <c r="A1320" s="4"/>
    </row>
    <row r="1321" spans="1:1" x14ac:dyDescent="0.25">
      <c r="A1321" s="4"/>
    </row>
    <row r="1322" spans="1:1" x14ac:dyDescent="0.25">
      <c r="A1322" s="4"/>
    </row>
    <row r="1323" spans="1:1" x14ac:dyDescent="0.25">
      <c r="A1323" s="4"/>
    </row>
    <row r="1324" spans="1:1" x14ac:dyDescent="0.25">
      <c r="A1324" s="4"/>
    </row>
    <row r="1325" spans="1:1" x14ac:dyDescent="0.25">
      <c r="A1325" s="4"/>
    </row>
    <row r="1326" spans="1:1" x14ac:dyDescent="0.25">
      <c r="A1326" s="4"/>
    </row>
    <row r="1327" spans="1:1" x14ac:dyDescent="0.25">
      <c r="A1327" s="4"/>
    </row>
    <row r="1328" spans="1:1" x14ac:dyDescent="0.25">
      <c r="A1328" s="4"/>
    </row>
    <row r="1329" spans="1:1" x14ac:dyDescent="0.25">
      <c r="A1329" s="4"/>
    </row>
    <row r="1330" spans="1:1" x14ac:dyDescent="0.25">
      <c r="A1330" s="4"/>
    </row>
    <row r="1331" spans="1:1" x14ac:dyDescent="0.25">
      <c r="A1331" s="4"/>
    </row>
    <row r="1332" spans="1:1" x14ac:dyDescent="0.25">
      <c r="A1332" s="4"/>
    </row>
    <row r="1333" spans="1:1" x14ac:dyDescent="0.25">
      <c r="A1333" s="4"/>
    </row>
    <row r="1334" spans="1:1" x14ac:dyDescent="0.25">
      <c r="A1334" s="4"/>
    </row>
    <row r="1335" spans="1:1" x14ac:dyDescent="0.25">
      <c r="A1335" s="4"/>
    </row>
    <row r="1336" spans="1:1" x14ac:dyDescent="0.25">
      <c r="A1336" s="4"/>
    </row>
    <row r="1337" spans="1:1" x14ac:dyDescent="0.25">
      <c r="A1337" s="4"/>
    </row>
    <row r="1338" spans="1:1" x14ac:dyDescent="0.25">
      <c r="A1338" s="4"/>
    </row>
    <row r="1339" spans="1:1" x14ac:dyDescent="0.25">
      <c r="A1339" s="4"/>
    </row>
    <row r="1340" spans="1:1" x14ac:dyDescent="0.25">
      <c r="A1340" s="4"/>
    </row>
    <row r="1341" spans="1:1" x14ac:dyDescent="0.25">
      <c r="A1341" s="4"/>
    </row>
    <row r="1342" spans="1:1" x14ac:dyDescent="0.25">
      <c r="A1342" s="4"/>
    </row>
    <row r="1343" spans="1:1" x14ac:dyDescent="0.25">
      <c r="A1343" s="4"/>
    </row>
    <row r="1344" spans="1:1" x14ac:dyDescent="0.25">
      <c r="A1344" s="4"/>
    </row>
    <row r="1345" spans="1:1" x14ac:dyDescent="0.25">
      <c r="A1345" s="4"/>
    </row>
    <row r="1346" spans="1:1" x14ac:dyDescent="0.25">
      <c r="A1346" s="4"/>
    </row>
    <row r="1347" spans="1:1" x14ac:dyDescent="0.25">
      <c r="A1347" s="4"/>
    </row>
    <row r="1348" spans="1:1" x14ac:dyDescent="0.25">
      <c r="A1348" s="4"/>
    </row>
    <row r="1349" spans="1:1" x14ac:dyDescent="0.25">
      <c r="A1349" s="4"/>
    </row>
    <row r="1350" spans="1:1" x14ac:dyDescent="0.25">
      <c r="A1350" s="4"/>
    </row>
    <row r="1351" spans="1:1" x14ac:dyDescent="0.25">
      <c r="A1351" s="4"/>
    </row>
    <row r="1352" spans="1:1" x14ac:dyDescent="0.25">
      <c r="A1352" s="4"/>
    </row>
    <row r="1353" spans="1:1" x14ac:dyDescent="0.25">
      <c r="A1353" s="4"/>
    </row>
    <row r="1354" spans="1:1" x14ac:dyDescent="0.25">
      <c r="A1354" s="4"/>
    </row>
    <row r="1355" spans="1:1" x14ac:dyDescent="0.25">
      <c r="A1355" s="4"/>
    </row>
    <row r="1356" spans="1:1" x14ac:dyDescent="0.25">
      <c r="A1356" s="4"/>
    </row>
    <row r="1357" spans="1:1" x14ac:dyDescent="0.25">
      <c r="A1357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10" spans="1:1" x14ac:dyDescent="0.25">
      <c r="A1410" s="4"/>
    </row>
    <row r="1411" spans="1:1" x14ac:dyDescent="0.25">
      <c r="A1411" s="4"/>
    </row>
    <row r="1412" spans="1:1" x14ac:dyDescent="0.25">
      <c r="A1412" s="4"/>
    </row>
    <row r="1413" spans="1:1" x14ac:dyDescent="0.25">
      <c r="A1413" s="4"/>
    </row>
    <row r="1414" spans="1:1" x14ac:dyDescent="0.25">
      <c r="A1414" s="4"/>
    </row>
    <row r="1415" spans="1:1" x14ac:dyDescent="0.25">
      <c r="A1415" s="4"/>
    </row>
    <row r="1416" spans="1:1" x14ac:dyDescent="0.25">
      <c r="A1416" s="4"/>
    </row>
    <row r="1417" spans="1:1" x14ac:dyDescent="0.25">
      <c r="A1417" s="4"/>
    </row>
    <row r="1418" spans="1:1" x14ac:dyDescent="0.25">
      <c r="A1418" s="4"/>
    </row>
    <row r="1419" spans="1:1" x14ac:dyDescent="0.25">
      <c r="A1419" s="4"/>
    </row>
    <row r="1420" spans="1:1" x14ac:dyDescent="0.25">
      <c r="A1420" s="4"/>
    </row>
    <row r="1421" spans="1:1" x14ac:dyDescent="0.25">
      <c r="A1421" s="4"/>
    </row>
    <row r="1422" spans="1:1" x14ac:dyDescent="0.25">
      <c r="A1422" s="4"/>
    </row>
    <row r="1423" spans="1:1" x14ac:dyDescent="0.25">
      <c r="A1423" s="4"/>
    </row>
    <row r="1424" spans="1:1" x14ac:dyDescent="0.25">
      <c r="A1424" s="4"/>
    </row>
    <row r="1425" spans="1:1" x14ac:dyDescent="0.25">
      <c r="A1425" s="4"/>
    </row>
    <row r="1426" spans="1:1" x14ac:dyDescent="0.25">
      <c r="A1426" s="4"/>
    </row>
    <row r="1427" spans="1:1" x14ac:dyDescent="0.25">
      <c r="A1427" s="4"/>
    </row>
    <row r="1428" spans="1:1" x14ac:dyDescent="0.25">
      <c r="A1428" s="4"/>
    </row>
    <row r="1429" spans="1:1" x14ac:dyDescent="0.25">
      <c r="A1429" s="4"/>
    </row>
    <row r="1430" spans="1:1" x14ac:dyDescent="0.25">
      <c r="A1430" s="4"/>
    </row>
    <row r="1431" spans="1:1" x14ac:dyDescent="0.25">
      <c r="A1431" s="4"/>
    </row>
    <row r="1432" spans="1:1" x14ac:dyDescent="0.25">
      <c r="A1432" s="4"/>
    </row>
    <row r="1433" spans="1:1" x14ac:dyDescent="0.25">
      <c r="A1433" s="4"/>
    </row>
    <row r="1434" spans="1:1" x14ac:dyDescent="0.25">
      <c r="A1434" s="4"/>
    </row>
    <row r="1435" spans="1:1" x14ac:dyDescent="0.25">
      <c r="A1435" s="4"/>
    </row>
    <row r="1436" spans="1:1" x14ac:dyDescent="0.25">
      <c r="A1436" s="4"/>
    </row>
    <row r="1437" spans="1:1" x14ac:dyDescent="0.25">
      <c r="A1437" s="4"/>
    </row>
    <row r="1438" spans="1:1" x14ac:dyDescent="0.25">
      <c r="A1438" s="4"/>
    </row>
    <row r="1439" spans="1:1" x14ac:dyDescent="0.25">
      <c r="A1439" s="4"/>
    </row>
    <row r="1440" spans="1:1" x14ac:dyDescent="0.25">
      <c r="A1440" s="4"/>
    </row>
    <row r="1441" spans="1:1" x14ac:dyDescent="0.25">
      <c r="A1441" s="4"/>
    </row>
    <row r="1442" spans="1:1" x14ac:dyDescent="0.25">
      <c r="A1442" s="4"/>
    </row>
    <row r="1443" spans="1:1" x14ac:dyDescent="0.25">
      <c r="A1443" s="4"/>
    </row>
    <row r="1444" spans="1:1" x14ac:dyDescent="0.25">
      <c r="A1444" s="4"/>
    </row>
    <row r="1445" spans="1:1" x14ac:dyDescent="0.25">
      <c r="A1445" s="4"/>
    </row>
    <row r="1446" spans="1:1" x14ac:dyDescent="0.25">
      <c r="A1446" s="4"/>
    </row>
    <row r="1447" spans="1:1" x14ac:dyDescent="0.25">
      <c r="A1447" s="4"/>
    </row>
    <row r="1448" spans="1:1" x14ac:dyDescent="0.25">
      <c r="A1448" s="4"/>
    </row>
    <row r="1449" spans="1:1" x14ac:dyDescent="0.25">
      <c r="A1449" s="4"/>
    </row>
    <row r="1450" spans="1:1" x14ac:dyDescent="0.25">
      <c r="A1450" s="4"/>
    </row>
    <row r="1451" spans="1:1" x14ac:dyDescent="0.25">
      <c r="A1451" s="4"/>
    </row>
    <row r="1452" spans="1:1" x14ac:dyDescent="0.25">
      <c r="A1452" s="4"/>
    </row>
    <row r="1453" spans="1:1" x14ac:dyDescent="0.25">
      <c r="A1453" s="4"/>
    </row>
    <row r="1454" spans="1:1" x14ac:dyDescent="0.25">
      <c r="A1454" s="4"/>
    </row>
    <row r="1455" spans="1:1" x14ac:dyDescent="0.25">
      <c r="A1455" s="4"/>
    </row>
    <row r="1456" spans="1:1" x14ac:dyDescent="0.25">
      <c r="A1456" s="4"/>
    </row>
    <row r="1457" spans="1:1" x14ac:dyDescent="0.25">
      <c r="A1457" s="4"/>
    </row>
    <row r="1458" spans="1:1" x14ac:dyDescent="0.25">
      <c r="A1458" s="4"/>
    </row>
    <row r="1459" spans="1:1" x14ac:dyDescent="0.25">
      <c r="A1459" s="4"/>
    </row>
    <row r="1460" spans="1:1" x14ac:dyDescent="0.25">
      <c r="A1460" s="4"/>
    </row>
    <row r="1461" spans="1:1" x14ac:dyDescent="0.25">
      <c r="A1461" s="4"/>
    </row>
    <row r="1462" spans="1:1" x14ac:dyDescent="0.25">
      <c r="A1462" s="4"/>
    </row>
    <row r="1463" spans="1:1" x14ac:dyDescent="0.25">
      <c r="A1463" s="4"/>
    </row>
    <row r="1464" spans="1:1" x14ac:dyDescent="0.25">
      <c r="A1464" s="4"/>
    </row>
    <row r="1465" spans="1:1" x14ac:dyDescent="0.25">
      <c r="A1465" s="4"/>
    </row>
    <row r="1466" spans="1:1" x14ac:dyDescent="0.25">
      <c r="A1466" s="4"/>
    </row>
    <row r="1467" spans="1:1" x14ac:dyDescent="0.25">
      <c r="A1467" s="4"/>
    </row>
    <row r="1468" spans="1:1" x14ac:dyDescent="0.25">
      <c r="A1468" s="4"/>
    </row>
    <row r="1469" spans="1:1" x14ac:dyDescent="0.25">
      <c r="A1469" s="4"/>
    </row>
    <row r="1470" spans="1:1" x14ac:dyDescent="0.25">
      <c r="A1470" s="4"/>
    </row>
    <row r="1471" spans="1:1" x14ac:dyDescent="0.25">
      <c r="A1471" s="4"/>
    </row>
    <row r="1472" spans="1:1" x14ac:dyDescent="0.25">
      <c r="A1472" s="4"/>
    </row>
    <row r="1473" spans="1:1" x14ac:dyDescent="0.25">
      <c r="A1473" s="4"/>
    </row>
    <row r="1474" spans="1:1" x14ac:dyDescent="0.25">
      <c r="A1474" s="4"/>
    </row>
    <row r="1475" spans="1:1" x14ac:dyDescent="0.25">
      <c r="A1475" s="4"/>
    </row>
    <row r="1476" spans="1:1" x14ac:dyDescent="0.25">
      <c r="A1476" s="4"/>
    </row>
    <row r="1477" spans="1:1" x14ac:dyDescent="0.25">
      <c r="A1477" s="4"/>
    </row>
    <row r="1478" spans="1:1" x14ac:dyDescent="0.25">
      <c r="A1478" s="4"/>
    </row>
    <row r="1479" spans="1:1" x14ac:dyDescent="0.25">
      <c r="A1479" s="4"/>
    </row>
    <row r="1480" spans="1:1" x14ac:dyDescent="0.25">
      <c r="A1480" s="4"/>
    </row>
    <row r="1481" spans="1:1" x14ac:dyDescent="0.25">
      <c r="A1481" s="4"/>
    </row>
    <row r="1482" spans="1:1" x14ac:dyDescent="0.25">
      <c r="A1482" s="4"/>
    </row>
    <row r="1483" spans="1:1" x14ac:dyDescent="0.25">
      <c r="A1483" s="4"/>
    </row>
    <row r="1484" spans="1:1" x14ac:dyDescent="0.25">
      <c r="A1484" s="4"/>
    </row>
    <row r="1485" spans="1:1" x14ac:dyDescent="0.25">
      <c r="A1485" s="4"/>
    </row>
    <row r="1486" spans="1:1" x14ac:dyDescent="0.25">
      <c r="A1486" s="4"/>
    </row>
    <row r="1487" spans="1:1" x14ac:dyDescent="0.25">
      <c r="A1487" s="4"/>
    </row>
    <row r="1488" spans="1:1" x14ac:dyDescent="0.25">
      <c r="A1488" s="4"/>
    </row>
    <row r="1489" spans="1:1" x14ac:dyDescent="0.25">
      <c r="A1489" s="4"/>
    </row>
    <row r="1490" spans="1:1" x14ac:dyDescent="0.25">
      <c r="A1490" s="4"/>
    </row>
    <row r="1491" spans="1:1" x14ac:dyDescent="0.25">
      <c r="A1491" s="4"/>
    </row>
    <row r="1492" spans="1:1" x14ac:dyDescent="0.25">
      <c r="A1492" s="4"/>
    </row>
    <row r="1493" spans="1:1" x14ac:dyDescent="0.25">
      <c r="A1493" s="4"/>
    </row>
    <row r="1494" spans="1:1" x14ac:dyDescent="0.25">
      <c r="A1494" s="4"/>
    </row>
    <row r="1495" spans="1:1" x14ac:dyDescent="0.25">
      <c r="A1495" s="4"/>
    </row>
    <row r="1496" spans="1:1" x14ac:dyDescent="0.25">
      <c r="A1496" s="4"/>
    </row>
    <row r="1497" spans="1:1" x14ac:dyDescent="0.25">
      <c r="A1497" s="4"/>
    </row>
    <row r="1498" spans="1:1" x14ac:dyDescent="0.25">
      <c r="A1498" s="4"/>
    </row>
    <row r="1499" spans="1:1" x14ac:dyDescent="0.25">
      <c r="A1499" s="4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14" spans="1:1" x14ac:dyDescent="0.25">
      <c r="A1514" s="4"/>
    </row>
    <row r="1515" spans="1:1" x14ac:dyDescent="0.25">
      <c r="A1515" s="4"/>
    </row>
    <row r="1516" spans="1:1" x14ac:dyDescent="0.25">
      <c r="A1516" s="4"/>
    </row>
    <row r="1517" spans="1:1" x14ac:dyDescent="0.25">
      <c r="A1517" s="4"/>
    </row>
    <row r="1518" spans="1:1" x14ac:dyDescent="0.25">
      <c r="A1518" s="4"/>
    </row>
    <row r="1519" spans="1:1" x14ac:dyDescent="0.25">
      <c r="A1519" s="4"/>
    </row>
    <row r="1520" spans="1:1" x14ac:dyDescent="0.25">
      <c r="A1520" s="4"/>
    </row>
    <row r="1521" spans="1:1" x14ac:dyDescent="0.25">
      <c r="A1521" s="4"/>
    </row>
    <row r="1522" spans="1:1" x14ac:dyDescent="0.25">
      <c r="A1522" s="4"/>
    </row>
    <row r="1523" spans="1:1" x14ac:dyDescent="0.25">
      <c r="A1523" s="4"/>
    </row>
    <row r="1524" spans="1:1" x14ac:dyDescent="0.25">
      <c r="A1524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5" spans="1:1" x14ac:dyDescent="0.25">
      <c r="A1545" s="4"/>
    </row>
    <row r="1546" spans="1:1" x14ac:dyDescent="0.25">
      <c r="A1546" s="4"/>
    </row>
    <row r="1547" spans="1:1" x14ac:dyDescent="0.25">
      <c r="A1547" s="4"/>
    </row>
    <row r="1548" spans="1:1" x14ac:dyDescent="0.25">
      <c r="A1548" s="4"/>
    </row>
    <row r="1549" spans="1:1" x14ac:dyDescent="0.25">
      <c r="A1549" s="4"/>
    </row>
    <row r="1550" spans="1:1" x14ac:dyDescent="0.25">
      <c r="A1550" s="4"/>
    </row>
    <row r="1551" spans="1:1" x14ac:dyDescent="0.25">
      <c r="A1551" s="4"/>
    </row>
    <row r="1552" spans="1:1" x14ac:dyDescent="0.25">
      <c r="A1552" s="4"/>
    </row>
    <row r="1553" spans="1:1" x14ac:dyDescent="0.25">
      <c r="A1553" s="4"/>
    </row>
    <row r="1554" spans="1:1" x14ac:dyDescent="0.25">
      <c r="A1554" s="4"/>
    </row>
    <row r="1555" spans="1:1" x14ac:dyDescent="0.25">
      <c r="A1555" s="4"/>
    </row>
    <row r="1556" spans="1:1" x14ac:dyDescent="0.25">
      <c r="A1556" s="4"/>
    </row>
    <row r="1557" spans="1:1" x14ac:dyDescent="0.25">
      <c r="A1557" s="4"/>
    </row>
    <row r="1558" spans="1:1" x14ac:dyDescent="0.25">
      <c r="A1558" s="4"/>
    </row>
    <row r="1559" spans="1:1" x14ac:dyDescent="0.25">
      <c r="A1559" s="4"/>
    </row>
    <row r="1560" spans="1:1" x14ac:dyDescent="0.25">
      <c r="A1560" s="4"/>
    </row>
    <row r="1561" spans="1:1" x14ac:dyDescent="0.25">
      <c r="A1561" s="4"/>
    </row>
    <row r="1562" spans="1:1" x14ac:dyDescent="0.25">
      <c r="A1562" s="4"/>
    </row>
    <row r="1563" spans="1:1" x14ac:dyDescent="0.25">
      <c r="A1563" s="4"/>
    </row>
    <row r="1564" spans="1:1" x14ac:dyDescent="0.25">
      <c r="A1564" s="4"/>
    </row>
    <row r="1565" spans="1:1" x14ac:dyDescent="0.25">
      <c r="A1565" s="4"/>
    </row>
    <row r="1566" spans="1:1" x14ac:dyDescent="0.25">
      <c r="A1566" s="4"/>
    </row>
    <row r="1567" spans="1:1" x14ac:dyDescent="0.25">
      <c r="A1567" s="4"/>
    </row>
    <row r="1568" spans="1:1" x14ac:dyDescent="0.25">
      <c r="A1568" s="4"/>
    </row>
    <row r="1569" spans="1:1" x14ac:dyDescent="0.25">
      <c r="A1569" s="4"/>
    </row>
    <row r="1570" spans="1:1" x14ac:dyDescent="0.25">
      <c r="A1570" s="4"/>
    </row>
    <row r="1571" spans="1:1" x14ac:dyDescent="0.25">
      <c r="A1571" s="4"/>
    </row>
    <row r="1572" spans="1:1" x14ac:dyDescent="0.25">
      <c r="A1572" s="4"/>
    </row>
    <row r="1573" spans="1:1" x14ac:dyDescent="0.25">
      <c r="A1573" s="4"/>
    </row>
    <row r="1574" spans="1:1" x14ac:dyDescent="0.25">
      <c r="A1574" s="4"/>
    </row>
    <row r="1575" spans="1:1" x14ac:dyDescent="0.25">
      <c r="A1575" s="4"/>
    </row>
    <row r="1576" spans="1:1" x14ac:dyDescent="0.25">
      <c r="A1576" s="4"/>
    </row>
    <row r="1577" spans="1:1" x14ac:dyDescent="0.25">
      <c r="A1577" s="4"/>
    </row>
    <row r="1578" spans="1:1" x14ac:dyDescent="0.25">
      <c r="A1578" s="4"/>
    </row>
    <row r="1579" spans="1:1" x14ac:dyDescent="0.25">
      <c r="A1579" s="4"/>
    </row>
    <row r="1580" spans="1:1" x14ac:dyDescent="0.25">
      <c r="A1580" s="4"/>
    </row>
    <row r="1581" spans="1:1" x14ac:dyDescent="0.25">
      <c r="A1581" s="4"/>
    </row>
    <row r="1582" spans="1:1" x14ac:dyDescent="0.25">
      <c r="A1582" s="4"/>
    </row>
    <row r="1583" spans="1:1" x14ac:dyDescent="0.25">
      <c r="A1583" s="4"/>
    </row>
    <row r="1584" spans="1:1" x14ac:dyDescent="0.25">
      <c r="A1584" s="4"/>
    </row>
    <row r="1585" spans="1:1" x14ac:dyDescent="0.25">
      <c r="A1585" s="4"/>
    </row>
    <row r="1586" spans="1:1" x14ac:dyDescent="0.25">
      <c r="A1586" s="4"/>
    </row>
    <row r="1587" spans="1:1" x14ac:dyDescent="0.25">
      <c r="A1587" s="4"/>
    </row>
    <row r="1588" spans="1:1" x14ac:dyDescent="0.25">
      <c r="A1588" s="4"/>
    </row>
    <row r="1589" spans="1:1" x14ac:dyDescent="0.25">
      <c r="A1589" s="4"/>
    </row>
    <row r="1590" spans="1:1" x14ac:dyDescent="0.25">
      <c r="A1590" s="4"/>
    </row>
    <row r="1591" spans="1:1" x14ac:dyDescent="0.25">
      <c r="A1591" s="4"/>
    </row>
    <row r="1592" spans="1:1" x14ac:dyDescent="0.25">
      <c r="A1592" s="4"/>
    </row>
    <row r="1593" spans="1:1" x14ac:dyDescent="0.25">
      <c r="A1593" s="4"/>
    </row>
    <row r="1594" spans="1:1" x14ac:dyDescent="0.25">
      <c r="A1594" s="4"/>
    </row>
    <row r="1595" spans="1:1" x14ac:dyDescent="0.25">
      <c r="A1595" s="4"/>
    </row>
    <row r="1596" spans="1:1" x14ac:dyDescent="0.25">
      <c r="A1596" s="4"/>
    </row>
    <row r="1597" spans="1:1" x14ac:dyDescent="0.25">
      <c r="A1597" s="4"/>
    </row>
    <row r="1598" spans="1:1" x14ac:dyDescent="0.25">
      <c r="A1598" s="4"/>
    </row>
    <row r="1599" spans="1:1" x14ac:dyDescent="0.25">
      <c r="A1599" s="4"/>
    </row>
    <row r="1600" spans="1:1" x14ac:dyDescent="0.25">
      <c r="A1600" s="4"/>
    </row>
    <row r="1601" spans="1:1" x14ac:dyDescent="0.25">
      <c r="A1601" s="4"/>
    </row>
    <row r="1602" spans="1:1" x14ac:dyDescent="0.25">
      <c r="A1602" s="4"/>
    </row>
    <row r="1603" spans="1:1" x14ac:dyDescent="0.25">
      <c r="A1603" s="4"/>
    </row>
    <row r="1604" spans="1:1" x14ac:dyDescent="0.25">
      <c r="A1604" s="4"/>
    </row>
    <row r="1605" spans="1:1" x14ac:dyDescent="0.25">
      <c r="A1605" s="4"/>
    </row>
    <row r="1606" spans="1:1" x14ac:dyDescent="0.25">
      <c r="A1606" s="4"/>
    </row>
    <row r="1607" spans="1:1" x14ac:dyDescent="0.25">
      <c r="A1607" s="4"/>
    </row>
    <row r="1608" spans="1:1" x14ac:dyDescent="0.25">
      <c r="A1608" s="4"/>
    </row>
    <row r="1609" spans="1:1" x14ac:dyDescent="0.25">
      <c r="A1609" s="4"/>
    </row>
    <row r="1610" spans="1:1" x14ac:dyDescent="0.25">
      <c r="A1610" s="4"/>
    </row>
    <row r="1611" spans="1:1" x14ac:dyDescent="0.25">
      <c r="A1611" s="4"/>
    </row>
    <row r="1612" spans="1:1" x14ac:dyDescent="0.25">
      <c r="A1612" s="4"/>
    </row>
    <row r="1613" spans="1:1" x14ac:dyDescent="0.25">
      <c r="A1613" s="4"/>
    </row>
    <row r="1614" spans="1:1" x14ac:dyDescent="0.25">
      <c r="A1614" s="4"/>
    </row>
    <row r="1615" spans="1:1" x14ac:dyDescent="0.25">
      <c r="A1615" s="4"/>
    </row>
    <row r="1616" spans="1:1" x14ac:dyDescent="0.25">
      <c r="A1616" s="4"/>
    </row>
    <row r="1617" spans="1:1" x14ac:dyDescent="0.25">
      <c r="A1617" s="4"/>
    </row>
    <row r="1618" spans="1:1" x14ac:dyDescent="0.25">
      <c r="A1618" s="4"/>
    </row>
    <row r="1619" spans="1:1" x14ac:dyDescent="0.25">
      <c r="A1619" s="4"/>
    </row>
    <row r="1620" spans="1:1" x14ac:dyDescent="0.25">
      <c r="A1620" s="4"/>
    </row>
    <row r="1621" spans="1:1" x14ac:dyDescent="0.25">
      <c r="A1621" s="4"/>
    </row>
    <row r="1622" spans="1:1" x14ac:dyDescent="0.25">
      <c r="A1622" s="4"/>
    </row>
    <row r="1623" spans="1:1" x14ac:dyDescent="0.25">
      <c r="A1623" s="4"/>
    </row>
    <row r="1624" spans="1:1" x14ac:dyDescent="0.25">
      <c r="A1624" s="4"/>
    </row>
    <row r="1625" spans="1:1" x14ac:dyDescent="0.25">
      <c r="A1625" s="4"/>
    </row>
    <row r="1626" spans="1:1" x14ac:dyDescent="0.25">
      <c r="A1626" s="4"/>
    </row>
    <row r="1627" spans="1:1" x14ac:dyDescent="0.25">
      <c r="A1627" s="4"/>
    </row>
    <row r="1628" spans="1:1" x14ac:dyDescent="0.25">
      <c r="A1628" s="4"/>
    </row>
    <row r="1629" spans="1:1" x14ac:dyDescent="0.25">
      <c r="A1629" s="4"/>
    </row>
    <row r="1630" spans="1:1" x14ac:dyDescent="0.25">
      <c r="A1630" s="4"/>
    </row>
    <row r="1631" spans="1:1" x14ac:dyDescent="0.25">
      <c r="A1631" s="4"/>
    </row>
    <row r="1632" spans="1:1" x14ac:dyDescent="0.25">
      <c r="A1632" s="4"/>
    </row>
    <row r="1633" spans="1:1" x14ac:dyDescent="0.25">
      <c r="A1633" s="4"/>
    </row>
    <row r="1634" spans="1:1" x14ac:dyDescent="0.25">
      <c r="A1634" s="4"/>
    </row>
    <row r="1635" spans="1:1" x14ac:dyDescent="0.25">
      <c r="A1635" s="4"/>
    </row>
    <row r="1636" spans="1:1" x14ac:dyDescent="0.25">
      <c r="A1636" s="4"/>
    </row>
    <row r="1637" spans="1:1" x14ac:dyDescent="0.25">
      <c r="A1637" s="4"/>
    </row>
    <row r="1638" spans="1:1" x14ac:dyDescent="0.25">
      <c r="A1638" s="4"/>
    </row>
    <row r="1639" spans="1:1" x14ac:dyDescent="0.25">
      <c r="A1639" s="4"/>
    </row>
    <row r="1640" spans="1:1" x14ac:dyDescent="0.25">
      <c r="A1640" s="4"/>
    </row>
    <row r="1641" spans="1:1" x14ac:dyDescent="0.25">
      <c r="A1641" s="4"/>
    </row>
    <row r="1642" spans="1:1" x14ac:dyDescent="0.25">
      <c r="A1642" s="4"/>
    </row>
    <row r="1643" spans="1:1" x14ac:dyDescent="0.25">
      <c r="A1643" s="4"/>
    </row>
    <row r="1644" spans="1:1" x14ac:dyDescent="0.25">
      <c r="A1644" s="4"/>
    </row>
    <row r="1645" spans="1:1" x14ac:dyDescent="0.25">
      <c r="A1645" s="4"/>
    </row>
    <row r="1646" spans="1:1" x14ac:dyDescent="0.25">
      <c r="A1646" s="4"/>
    </row>
    <row r="1647" spans="1:1" x14ac:dyDescent="0.25">
      <c r="A1647" s="4"/>
    </row>
    <row r="1648" spans="1:1" x14ac:dyDescent="0.25">
      <c r="A1648" s="4"/>
    </row>
    <row r="1649" spans="1:1" x14ac:dyDescent="0.25">
      <c r="A1649" s="4"/>
    </row>
    <row r="1650" spans="1:1" x14ac:dyDescent="0.25">
      <c r="A1650" s="4"/>
    </row>
    <row r="1651" spans="1:1" x14ac:dyDescent="0.25">
      <c r="A1651" s="4"/>
    </row>
    <row r="1652" spans="1:1" x14ac:dyDescent="0.25">
      <c r="A1652" s="4"/>
    </row>
    <row r="1653" spans="1:1" x14ac:dyDescent="0.25">
      <c r="A1653" s="4"/>
    </row>
    <row r="1654" spans="1:1" x14ac:dyDescent="0.25">
      <c r="A1654" s="4"/>
    </row>
    <row r="1655" spans="1:1" x14ac:dyDescent="0.25">
      <c r="A1655" s="4"/>
    </row>
    <row r="1656" spans="1:1" x14ac:dyDescent="0.25">
      <c r="A1656" s="4"/>
    </row>
    <row r="1657" spans="1:1" x14ac:dyDescent="0.25">
      <c r="A1657" s="4"/>
    </row>
    <row r="1658" spans="1:1" x14ac:dyDescent="0.25">
      <c r="A1658" s="4"/>
    </row>
    <row r="1659" spans="1:1" x14ac:dyDescent="0.25">
      <c r="A1659" s="4"/>
    </row>
    <row r="1660" spans="1:1" x14ac:dyDescent="0.25">
      <c r="A1660" s="4"/>
    </row>
    <row r="1661" spans="1:1" x14ac:dyDescent="0.25">
      <c r="A1661" s="4"/>
    </row>
    <row r="1662" spans="1:1" x14ac:dyDescent="0.25">
      <c r="A1662" s="4"/>
    </row>
    <row r="1663" spans="1:1" x14ac:dyDescent="0.25">
      <c r="A1663" s="4"/>
    </row>
    <row r="1664" spans="1:1" x14ac:dyDescent="0.25">
      <c r="A1664" s="4"/>
    </row>
    <row r="1665" spans="1:1" x14ac:dyDescent="0.25">
      <c r="A1665" s="4"/>
    </row>
    <row r="1666" spans="1:1" x14ac:dyDescent="0.25">
      <c r="A1666" s="4"/>
    </row>
    <row r="1667" spans="1:1" x14ac:dyDescent="0.25">
      <c r="A1667" s="4"/>
    </row>
    <row r="1668" spans="1:1" x14ac:dyDescent="0.25">
      <c r="A1668" s="4"/>
    </row>
    <row r="1669" spans="1:1" x14ac:dyDescent="0.25">
      <c r="A1669" s="4"/>
    </row>
    <row r="1670" spans="1:1" x14ac:dyDescent="0.25">
      <c r="A1670" s="4"/>
    </row>
    <row r="1671" spans="1:1" x14ac:dyDescent="0.25">
      <c r="A1671" s="4"/>
    </row>
    <row r="1672" spans="1:1" x14ac:dyDescent="0.25">
      <c r="A1672" s="4"/>
    </row>
    <row r="1673" spans="1:1" x14ac:dyDescent="0.25">
      <c r="A1673" s="4"/>
    </row>
    <row r="1674" spans="1:1" x14ac:dyDescent="0.25">
      <c r="A1674" s="4"/>
    </row>
    <row r="1675" spans="1:1" x14ac:dyDescent="0.25">
      <c r="A1675" s="4"/>
    </row>
    <row r="1676" spans="1:1" x14ac:dyDescent="0.25">
      <c r="A1676" s="4"/>
    </row>
    <row r="1677" spans="1:1" x14ac:dyDescent="0.25">
      <c r="A1677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29" spans="1:1" x14ac:dyDescent="0.25">
      <c r="A1729" s="4"/>
    </row>
    <row r="1730" spans="1:1" x14ac:dyDescent="0.25">
      <c r="A1730" s="4"/>
    </row>
    <row r="1731" spans="1:1" x14ac:dyDescent="0.25">
      <c r="A1731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738" spans="1:1" x14ac:dyDescent="0.25">
      <c r="A1738" s="4"/>
    </row>
    <row r="1739" spans="1:1" x14ac:dyDescent="0.25">
      <c r="A1739" s="4"/>
    </row>
    <row r="1740" spans="1:1" x14ac:dyDescent="0.25">
      <c r="A1740" s="4"/>
    </row>
    <row r="1741" spans="1:1" x14ac:dyDescent="0.25">
      <c r="A1741" s="4"/>
    </row>
    <row r="1742" spans="1:1" x14ac:dyDescent="0.25">
      <c r="A1742" s="4"/>
    </row>
    <row r="1743" spans="1:1" x14ac:dyDescent="0.25">
      <c r="A1743" s="4"/>
    </row>
    <row r="1744" spans="1:1" x14ac:dyDescent="0.25">
      <c r="A1744" s="4"/>
    </row>
    <row r="1745" spans="1:1" x14ac:dyDescent="0.25">
      <c r="A1745" s="4"/>
    </row>
    <row r="1746" spans="1:1" x14ac:dyDescent="0.25">
      <c r="A1746" s="4"/>
    </row>
    <row r="1747" spans="1:1" x14ac:dyDescent="0.25">
      <c r="A1747" s="4"/>
    </row>
    <row r="1748" spans="1:1" x14ac:dyDescent="0.25">
      <c r="A1748" s="4"/>
    </row>
    <row r="1749" spans="1:1" x14ac:dyDescent="0.25">
      <c r="A1749" s="4"/>
    </row>
    <row r="1750" spans="1:1" x14ac:dyDescent="0.25">
      <c r="A1750" s="4"/>
    </row>
    <row r="1751" spans="1:1" x14ac:dyDescent="0.25">
      <c r="A1751" s="4"/>
    </row>
    <row r="1752" spans="1:1" x14ac:dyDescent="0.25">
      <c r="A1752" s="4"/>
    </row>
    <row r="1753" spans="1:1" x14ac:dyDescent="0.25">
      <c r="A1753" s="4"/>
    </row>
    <row r="1754" spans="1:1" x14ac:dyDescent="0.25">
      <c r="A1754" s="4"/>
    </row>
    <row r="1755" spans="1:1" x14ac:dyDescent="0.25">
      <c r="A1755" s="4"/>
    </row>
    <row r="1756" spans="1:1" x14ac:dyDescent="0.25">
      <c r="A1756" s="4"/>
    </row>
    <row r="1757" spans="1:1" x14ac:dyDescent="0.25">
      <c r="A1757" s="4"/>
    </row>
    <row r="1758" spans="1:1" x14ac:dyDescent="0.25">
      <c r="A1758" s="4"/>
    </row>
    <row r="1759" spans="1:1" x14ac:dyDescent="0.25">
      <c r="A1759" s="4"/>
    </row>
    <row r="1760" spans="1:1" x14ac:dyDescent="0.25">
      <c r="A1760" s="4"/>
    </row>
    <row r="1761" spans="1:1" x14ac:dyDescent="0.25">
      <c r="A1761" s="4"/>
    </row>
    <row r="1762" spans="1:1" x14ac:dyDescent="0.25">
      <c r="A1762" s="4"/>
    </row>
    <row r="1763" spans="1:1" x14ac:dyDescent="0.25">
      <c r="A1763" s="4"/>
    </row>
    <row r="1764" spans="1:1" x14ac:dyDescent="0.25">
      <c r="A1764" s="4"/>
    </row>
    <row r="1765" spans="1:1" x14ac:dyDescent="0.25">
      <c r="A1765" s="4"/>
    </row>
    <row r="1766" spans="1:1" x14ac:dyDescent="0.25">
      <c r="A1766" s="4"/>
    </row>
    <row r="1767" spans="1:1" x14ac:dyDescent="0.25">
      <c r="A1767" s="4"/>
    </row>
    <row r="1768" spans="1:1" x14ac:dyDescent="0.25">
      <c r="A1768" s="4"/>
    </row>
    <row r="1769" spans="1:1" x14ac:dyDescent="0.25">
      <c r="A1769" s="4"/>
    </row>
    <row r="1770" spans="1:1" x14ac:dyDescent="0.25">
      <c r="A1770" s="4"/>
    </row>
    <row r="1771" spans="1:1" x14ac:dyDescent="0.25">
      <c r="A1771" s="4"/>
    </row>
    <row r="1772" spans="1:1" x14ac:dyDescent="0.25">
      <c r="A1772" s="4"/>
    </row>
    <row r="1773" spans="1:1" x14ac:dyDescent="0.25">
      <c r="A1773" s="4"/>
    </row>
    <row r="1774" spans="1:1" x14ac:dyDescent="0.25">
      <c r="A1774" s="4"/>
    </row>
    <row r="1775" spans="1:1" x14ac:dyDescent="0.25">
      <c r="A1775" s="4"/>
    </row>
    <row r="1776" spans="1:1" x14ac:dyDescent="0.25">
      <c r="A1776" s="4"/>
    </row>
    <row r="1777" spans="1:1" x14ac:dyDescent="0.25">
      <c r="A1777" s="4"/>
    </row>
    <row r="1778" spans="1:1" x14ac:dyDescent="0.25">
      <c r="A1778" s="4"/>
    </row>
    <row r="1779" spans="1:1" x14ac:dyDescent="0.25">
      <c r="A1779" s="4"/>
    </row>
    <row r="1780" spans="1:1" x14ac:dyDescent="0.25">
      <c r="A1780" s="4"/>
    </row>
    <row r="1781" spans="1:1" x14ac:dyDescent="0.25">
      <c r="A1781" s="4"/>
    </row>
    <row r="1782" spans="1:1" x14ac:dyDescent="0.25">
      <c r="A1782" s="4"/>
    </row>
    <row r="1783" spans="1:1" x14ac:dyDescent="0.25">
      <c r="A1783" s="4"/>
    </row>
    <row r="1784" spans="1:1" x14ac:dyDescent="0.25">
      <c r="A1784" s="4"/>
    </row>
    <row r="1785" spans="1:1" x14ac:dyDescent="0.25">
      <c r="A1785" s="4"/>
    </row>
    <row r="1786" spans="1:1" x14ac:dyDescent="0.25">
      <c r="A1786" s="4"/>
    </row>
    <row r="1787" spans="1:1" x14ac:dyDescent="0.25">
      <c r="A1787" s="4"/>
    </row>
    <row r="1788" spans="1:1" x14ac:dyDescent="0.25">
      <c r="A1788" s="4"/>
    </row>
    <row r="1789" spans="1:1" x14ac:dyDescent="0.25">
      <c r="A1789" s="4"/>
    </row>
    <row r="1790" spans="1:1" x14ac:dyDescent="0.25">
      <c r="A1790" s="4"/>
    </row>
    <row r="1791" spans="1:1" x14ac:dyDescent="0.25">
      <c r="A1791" s="4"/>
    </row>
    <row r="1792" spans="1:1" x14ac:dyDescent="0.25">
      <c r="A1792" s="4"/>
    </row>
    <row r="1793" spans="1:1" x14ac:dyDescent="0.25">
      <c r="A1793" s="4"/>
    </row>
    <row r="1794" spans="1:1" x14ac:dyDescent="0.25">
      <c r="A1794" s="4"/>
    </row>
    <row r="1795" spans="1:1" x14ac:dyDescent="0.25">
      <c r="A1795" s="4"/>
    </row>
    <row r="1796" spans="1:1" x14ac:dyDescent="0.25">
      <c r="A1796" s="4"/>
    </row>
    <row r="1797" spans="1:1" x14ac:dyDescent="0.25">
      <c r="A1797" s="4"/>
    </row>
    <row r="1798" spans="1:1" x14ac:dyDescent="0.25">
      <c r="A1798" s="4"/>
    </row>
    <row r="1799" spans="1:1" x14ac:dyDescent="0.25">
      <c r="A1799" s="4"/>
    </row>
    <row r="1800" spans="1:1" x14ac:dyDescent="0.25">
      <c r="A1800" s="4"/>
    </row>
    <row r="1801" spans="1:1" x14ac:dyDescent="0.25">
      <c r="A1801" s="4"/>
    </row>
    <row r="1802" spans="1:1" x14ac:dyDescent="0.25">
      <c r="A1802" s="4"/>
    </row>
    <row r="1803" spans="1:1" x14ac:dyDescent="0.25">
      <c r="A1803" s="4"/>
    </row>
    <row r="1804" spans="1:1" x14ac:dyDescent="0.25">
      <c r="A1804" s="4"/>
    </row>
    <row r="1805" spans="1:1" x14ac:dyDescent="0.25">
      <c r="A1805" s="4"/>
    </row>
    <row r="1806" spans="1:1" x14ac:dyDescent="0.25">
      <c r="A1806" s="4"/>
    </row>
    <row r="1807" spans="1:1" x14ac:dyDescent="0.25">
      <c r="A1807" s="4"/>
    </row>
    <row r="1808" spans="1:1" x14ac:dyDescent="0.25">
      <c r="A1808" s="4"/>
    </row>
    <row r="1809" spans="1:1" x14ac:dyDescent="0.25">
      <c r="A1809" s="4"/>
    </row>
    <row r="1810" spans="1:1" x14ac:dyDescent="0.25">
      <c r="A1810" s="4"/>
    </row>
    <row r="1811" spans="1:1" x14ac:dyDescent="0.25">
      <c r="A1811" s="4"/>
    </row>
    <row r="1812" spans="1:1" x14ac:dyDescent="0.25">
      <c r="A1812" s="4"/>
    </row>
    <row r="1813" spans="1:1" x14ac:dyDescent="0.25">
      <c r="A1813" s="4"/>
    </row>
    <row r="1814" spans="1:1" x14ac:dyDescent="0.25">
      <c r="A1814" s="4"/>
    </row>
    <row r="1815" spans="1:1" x14ac:dyDescent="0.25">
      <c r="A1815" s="4"/>
    </row>
    <row r="1816" spans="1:1" x14ac:dyDescent="0.25">
      <c r="A1816" s="4"/>
    </row>
    <row r="1817" spans="1:1" x14ac:dyDescent="0.25">
      <c r="A1817" s="4"/>
    </row>
    <row r="1818" spans="1:1" x14ac:dyDescent="0.25">
      <c r="A1818" s="4"/>
    </row>
    <row r="1819" spans="1:1" x14ac:dyDescent="0.25">
      <c r="A1819" s="4"/>
    </row>
    <row r="1820" spans="1:1" x14ac:dyDescent="0.25">
      <c r="A1820" s="4"/>
    </row>
    <row r="1821" spans="1:1" x14ac:dyDescent="0.25">
      <c r="A1821" s="4"/>
    </row>
    <row r="1822" spans="1:1" x14ac:dyDescent="0.25">
      <c r="A1822" s="4"/>
    </row>
    <row r="1823" spans="1:1" x14ac:dyDescent="0.25">
      <c r="A1823" s="4"/>
    </row>
    <row r="1824" spans="1:1" x14ac:dyDescent="0.25">
      <c r="A1824" s="4"/>
    </row>
    <row r="1825" spans="1:1" x14ac:dyDescent="0.25">
      <c r="A1825" s="4"/>
    </row>
    <row r="1826" spans="1:1" x14ac:dyDescent="0.25">
      <c r="A1826" s="4"/>
    </row>
    <row r="1827" spans="1:1" x14ac:dyDescent="0.25">
      <c r="A1827" s="4"/>
    </row>
    <row r="1828" spans="1:1" x14ac:dyDescent="0.25">
      <c r="A1828" s="4"/>
    </row>
    <row r="1829" spans="1:1" x14ac:dyDescent="0.25">
      <c r="A1829" s="4"/>
    </row>
    <row r="1830" spans="1:1" x14ac:dyDescent="0.25">
      <c r="A1830" s="4"/>
    </row>
    <row r="1831" spans="1:1" x14ac:dyDescent="0.25">
      <c r="A1831" s="4"/>
    </row>
    <row r="1832" spans="1:1" x14ac:dyDescent="0.25">
      <c r="A1832" s="4"/>
    </row>
    <row r="1833" spans="1:1" x14ac:dyDescent="0.25">
      <c r="A1833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  <row r="1870" spans="1:1" x14ac:dyDescent="0.25">
      <c r="A1870" s="4"/>
    </row>
    <row r="1871" spans="1:1" x14ac:dyDescent="0.25">
      <c r="A1871" s="4"/>
    </row>
    <row r="1872" spans="1:1" x14ac:dyDescent="0.25">
      <c r="A1872" s="4"/>
    </row>
    <row r="1873" spans="1:1" x14ac:dyDescent="0.25">
      <c r="A1873" s="4"/>
    </row>
    <row r="1874" spans="1:1" x14ac:dyDescent="0.25">
      <c r="A1874" s="4"/>
    </row>
    <row r="1875" spans="1:1" x14ac:dyDescent="0.25">
      <c r="A1875" s="4"/>
    </row>
    <row r="1876" spans="1:1" x14ac:dyDescent="0.25">
      <c r="A1876" s="4"/>
    </row>
    <row r="1877" spans="1:1" x14ac:dyDescent="0.25">
      <c r="A1877" s="4"/>
    </row>
    <row r="1878" spans="1:1" x14ac:dyDescent="0.25">
      <c r="A1878" s="4"/>
    </row>
    <row r="1879" spans="1:1" x14ac:dyDescent="0.25">
      <c r="A1879" s="4"/>
    </row>
    <row r="1880" spans="1:1" x14ac:dyDescent="0.25">
      <c r="A1880" s="4"/>
    </row>
    <row r="1881" spans="1:1" x14ac:dyDescent="0.25">
      <c r="A1881" s="4"/>
    </row>
    <row r="1882" spans="1:1" x14ac:dyDescent="0.25">
      <c r="A1882" s="4"/>
    </row>
    <row r="1883" spans="1:1" x14ac:dyDescent="0.25">
      <c r="A1883" s="4"/>
    </row>
    <row r="1884" spans="1:1" x14ac:dyDescent="0.25">
      <c r="A1884" s="4"/>
    </row>
    <row r="1885" spans="1:1" x14ac:dyDescent="0.25">
      <c r="A1885" s="4"/>
    </row>
    <row r="1886" spans="1:1" x14ac:dyDescent="0.25">
      <c r="A1886" s="4"/>
    </row>
    <row r="1887" spans="1:1" x14ac:dyDescent="0.25">
      <c r="A1887" s="4"/>
    </row>
    <row r="1888" spans="1:1" x14ac:dyDescent="0.25">
      <c r="A1888" s="4"/>
    </row>
    <row r="1889" spans="1:1" x14ac:dyDescent="0.25">
      <c r="A1889" s="4"/>
    </row>
    <row r="1890" spans="1:1" x14ac:dyDescent="0.25">
      <c r="A1890" s="4"/>
    </row>
    <row r="1891" spans="1:1" x14ac:dyDescent="0.25">
      <c r="A1891" s="4"/>
    </row>
    <row r="1892" spans="1:1" x14ac:dyDescent="0.25">
      <c r="A1892" s="4"/>
    </row>
    <row r="1893" spans="1:1" x14ac:dyDescent="0.25">
      <c r="A1893" s="4"/>
    </row>
    <row r="1894" spans="1:1" x14ac:dyDescent="0.25">
      <c r="A1894" s="4"/>
    </row>
    <row r="1895" spans="1:1" x14ac:dyDescent="0.25">
      <c r="A1895" s="4"/>
    </row>
    <row r="1896" spans="1:1" x14ac:dyDescent="0.25">
      <c r="A1896" s="4"/>
    </row>
    <row r="1897" spans="1:1" x14ac:dyDescent="0.25">
      <c r="A1897" s="4"/>
    </row>
    <row r="1898" spans="1:1" x14ac:dyDescent="0.25">
      <c r="A1898" s="4"/>
    </row>
    <row r="1899" spans="1:1" x14ac:dyDescent="0.25">
      <c r="A1899" s="4"/>
    </row>
    <row r="1900" spans="1:1" x14ac:dyDescent="0.25">
      <c r="A1900" s="4"/>
    </row>
    <row r="1901" spans="1:1" x14ac:dyDescent="0.25">
      <c r="A1901" s="4"/>
    </row>
    <row r="1902" spans="1:1" x14ac:dyDescent="0.25">
      <c r="A1902" s="4"/>
    </row>
    <row r="1903" spans="1:1" x14ac:dyDescent="0.25">
      <c r="A1903" s="4"/>
    </row>
    <row r="1904" spans="1:1" x14ac:dyDescent="0.25">
      <c r="A1904" s="4"/>
    </row>
    <row r="1905" spans="1:1" x14ac:dyDescent="0.25">
      <c r="A1905" s="4"/>
    </row>
    <row r="1906" spans="1:1" x14ac:dyDescent="0.25">
      <c r="A1906" s="4"/>
    </row>
    <row r="1907" spans="1:1" x14ac:dyDescent="0.25">
      <c r="A1907" s="4"/>
    </row>
    <row r="1908" spans="1:1" x14ac:dyDescent="0.25">
      <c r="A1908" s="4"/>
    </row>
    <row r="1909" spans="1:1" x14ac:dyDescent="0.25">
      <c r="A1909" s="4"/>
    </row>
    <row r="1910" spans="1:1" x14ac:dyDescent="0.25">
      <c r="A1910" s="4"/>
    </row>
    <row r="1911" spans="1:1" x14ac:dyDescent="0.25">
      <c r="A1911" s="4"/>
    </row>
    <row r="1912" spans="1:1" x14ac:dyDescent="0.25">
      <c r="A1912" s="4"/>
    </row>
    <row r="1913" spans="1:1" x14ac:dyDescent="0.25">
      <c r="A1913" s="4"/>
    </row>
    <row r="1914" spans="1:1" x14ac:dyDescent="0.25">
      <c r="A1914" s="4"/>
    </row>
    <row r="1915" spans="1:1" x14ac:dyDescent="0.25">
      <c r="A1915" s="4"/>
    </row>
    <row r="1916" spans="1:1" x14ac:dyDescent="0.25">
      <c r="A1916" s="4"/>
    </row>
    <row r="1917" spans="1:1" x14ac:dyDescent="0.25">
      <c r="A1917" s="4"/>
    </row>
    <row r="1918" spans="1:1" x14ac:dyDescent="0.25">
      <c r="A1918" s="4"/>
    </row>
    <row r="1919" spans="1:1" x14ac:dyDescent="0.25">
      <c r="A1919" s="4"/>
    </row>
    <row r="1920" spans="1:1" x14ac:dyDescent="0.25">
      <c r="A1920" s="4"/>
    </row>
    <row r="1921" spans="1:1" x14ac:dyDescent="0.25">
      <c r="A1921" s="4"/>
    </row>
    <row r="1922" spans="1:1" x14ac:dyDescent="0.25">
      <c r="A1922" s="4"/>
    </row>
    <row r="1923" spans="1:1" x14ac:dyDescent="0.25">
      <c r="A1923" s="4"/>
    </row>
    <row r="1924" spans="1:1" x14ac:dyDescent="0.25">
      <c r="A1924" s="4"/>
    </row>
    <row r="1925" spans="1:1" x14ac:dyDescent="0.25">
      <c r="A1925" s="4"/>
    </row>
    <row r="1926" spans="1:1" x14ac:dyDescent="0.25">
      <c r="A1926" s="4"/>
    </row>
    <row r="1927" spans="1:1" x14ac:dyDescent="0.25">
      <c r="A1927" s="4"/>
    </row>
    <row r="1928" spans="1:1" x14ac:dyDescent="0.25">
      <c r="A1928" s="4"/>
    </row>
    <row r="1929" spans="1:1" x14ac:dyDescent="0.25">
      <c r="A1929" s="4"/>
    </row>
    <row r="1930" spans="1:1" x14ac:dyDescent="0.25">
      <c r="A1930" s="4"/>
    </row>
    <row r="1931" spans="1:1" x14ac:dyDescent="0.25">
      <c r="A1931" s="4"/>
    </row>
    <row r="1932" spans="1:1" x14ac:dyDescent="0.25">
      <c r="A1932" s="4"/>
    </row>
    <row r="1933" spans="1:1" x14ac:dyDescent="0.25">
      <c r="A1933" s="4"/>
    </row>
    <row r="1934" spans="1:1" x14ac:dyDescent="0.25">
      <c r="A1934" s="4"/>
    </row>
    <row r="1935" spans="1:1" x14ac:dyDescent="0.25">
      <c r="A1935" s="4"/>
    </row>
    <row r="1936" spans="1:1" x14ac:dyDescent="0.25">
      <c r="A1936" s="4"/>
    </row>
    <row r="1937" spans="1:1" x14ac:dyDescent="0.25">
      <c r="A1937" s="4"/>
    </row>
    <row r="1938" spans="1:1" x14ac:dyDescent="0.25">
      <c r="A1938" s="4"/>
    </row>
    <row r="1939" spans="1:1" x14ac:dyDescent="0.25">
      <c r="A1939" s="4"/>
    </row>
    <row r="1940" spans="1:1" x14ac:dyDescent="0.25">
      <c r="A1940" s="4"/>
    </row>
    <row r="1941" spans="1:1" x14ac:dyDescent="0.25">
      <c r="A1941" s="4"/>
    </row>
    <row r="1942" spans="1:1" x14ac:dyDescent="0.25">
      <c r="A1942" s="4"/>
    </row>
    <row r="1943" spans="1:1" x14ac:dyDescent="0.25">
      <c r="A1943" s="4"/>
    </row>
    <row r="1944" spans="1:1" x14ac:dyDescent="0.25">
      <c r="A1944" s="4"/>
    </row>
    <row r="1945" spans="1:1" x14ac:dyDescent="0.25">
      <c r="A1945" s="4"/>
    </row>
    <row r="1946" spans="1:1" x14ac:dyDescent="0.25">
      <c r="A1946" s="4"/>
    </row>
    <row r="1947" spans="1:1" x14ac:dyDescent="0.25">
      <c r="A1947" s="4"/>
    </row>
    <row r="1948" spans="1:1" x14ac:dyDescent="0.25">
      <c r="A1948" s="4"/>
    </row>
    <row r="1949" spans="1:1" x14ac:dyDescent="0.25">
      <c r="A1949" s="4"/>
    </row>
    <row r="1950" spans="1:1" x14ac:dyDescent="0.25">
      <c r="A1950" s="4"/>
    </row>
    <row r="1951" spans="1:1" x14ac:dyDescent="0.25">
      <c r="A1951" s="4"/>
    </row>
    <row r="1952" spans="1:1" x14ac:dyDescent="0.25">
      <c r="A1952" s="4"/>
    </row>
    <row r="1953" spans="1:1" x14ac:dyDescent="0.25">
      <c r="A1953" s="4"/>
    </row>
    <row r="1954" spans="1:1" x14ac:dyDescent="0.25">
      <c r="A1954" s="4"/>
    </row>
    <row r="1955" spans="1:1" x14ac:dyDescent="0.25">
      <c r="A1955" s="4"/>
    </row>
    <row r="1956" spans="1:1" x14ac:dyDescent="0.25">
      <c r="A1956" s="4"/>
    </row>
    <row r="1957" spans="1:1" x14ac:dyDescent="0.25">
      <c r="A1957" s="4"/>
    </row>
    <row r="1958" spans="1:1" x14ac:dyDescent="0.25">
      <c r="A1958" s="4"/>
    </row>
    <row r="1959" spans="1:1" x14ac:dyDescent="0.25">
      <c r="A1959" s="4"/>
    </row>
    <row r="1960" spans="1:1" x14ac:dyDescent="0.25">
      <c r="A1960" s="4"/>
    </row>
    <row r="1961" spans="1:1" x14ac:dyDescent="0.25">
      <c r="A1961" s="4"/>
    </row>
    <row r="1962" spans="1:1" x14ac:dyDescent="0.25">
      <c r="A1962" s="4"/>
    </row>
    <row r="1963" spans="1:1" x14ac:dyDescent="0.25">
      <c r="A1963" s="4"/>
    </row>
    <row r="1964" spans="1:1" x14ac:dyDescent="0.25">
      <c r="A1964" s="4"/>
    </row>
    <row r="1965" spans="1:1" x14ac:dyDescent="0.25">
      <c r="A1965" s="4"/>
    </row>
    <row r="1966" spans="1:1" x14ac:dyDescent="0.25">
      <c r="A1966" s="4"/>
    </row>
    <row r="1967" spans="1:1" x14ac:dyDescent="0.25">
      <c r="A1967" s="4"/>
    </row>
    <row r="1968" spans="1:1" x14ac:dyDescent="0.25">
      <c r="A1968" s="4"/>
    </row>
    <row r="1969" spans="1:1" x14ac:dyDescent="0.25">
      <c r="A1969" s="4"/>
    </row>
    <row r="1970" spans="1:1" x14ac:dyDescent="0.25">
      <c r="A1970" s="4"/>
    </row>
    <row r="1971" spans="1:1" x14ac:dyDescent="0.25">
      <c r="A1971" s="4"/>
    </row>
    <row r="1972" spans="1:1" x14ac:dyDescent="0.25">
      <c r="A1972" s="4"/>
    </row>
    <row r="1973" spans="1:1" x14ac:dyDescent="0.25">
      <c r="A1973" s="4"/>
    </row>
    <row r="1974" spans="1:1" x14ac:dyDescent="0.25">
      <c r="A1974" s="4"/>
    </row>
    <row r="1975" spans="1:1" x14ac:dyDescent="0.25">
      <c r="A1975" s="4"/>
    </row>
    <row r="1976" spans="1:1" x14ac:dyDescent="0.25">
      <c r="A1976" s="4"/>
    </row>
    <row r="1977" spans="1:1" x14ac:dyDescent="0.25">
      <c r="A1977" s="4"/>
    </row>
    <row r="1978" spans="1:1" x14ac:dyDescent="0.25">
      <c r="A1978" s="4"/>
    </row>
    <row r="1979" spans="1:1" x14ac:dyDescent="0.25">
      <c r="A1979" s="4"/>
    </row>
    <row r="1980" spans="1:1" x14ac:dyDescent="0.25">
      <c r="A1980" s="4"/>
    </row>
    <row r="1981" spans="1:1" x14ac:dyDescent="0.25">
      <c r="A1981" s="4"/>
    </row>
    <row r="1982" spans="1:1" x14ac:dyDescent="0.25">
      <c r="A1982" s="4"/>
    </row>
    <row r="1983" spans="1:1" x14ac:dyDescent="0.25">
      <c r="A1983" s="4"/>
    </row>
    <row r="1984" spans="1:1" x14ac:dyDescent="0.25">
      <c r="A1984" s="4"/>
    </row>
    <row r="1985" spans="1:1" x14ac:dyDescent="0.25">
      <c r="A1985" s="4"/>
    </row>
    <row r="1986" spans="1:1" x14ac:dyDescent="0.25">
      <c r="A1986" s="4"/>
    </row>
    <row r="1987" spans="1:1" x14ac:dyDescent="0.25">
      <c r="A1987" s="4"/>
    </row>
    <row r="1988" spans="1:1" x14ac:dyDescent="0.25">
      <c r="A1988" s="4"/>
    </row>
    <row r="1989" spans="1:1" x14ac:dyDescent="0.25">
      <c r="A1989" s="4"/>
    </row>
    <row r="1990" spans="1:1" x14ac:dyDescent="0.25">
      <c r="A1990" s="4"/>
    </row>
    <row r="1991" spans="1:1" x14ac:dyDescent="0.25">
      <c r="A1991" s="4"/>
    </row>
    <row r="1992" spans="1:1" x14ac:dyDescent="0.25">
      <c r="A1992" s="4"/>
    </row>
    <row r="1993" spans="1:1" x14ac:dyDescent="0.25">
      <c r="A1993" s="4"/>
    </row>
    <row r="1994" spans="1:1" x14ac:dyDescent="0.25">
      <c r="A1994" s="4"/>
    </row>
    <row r="1995" spans="1:1" x14ac:dyDescent="0.25">
      <c r="A1995" s="4"/>
    </row>
    <row r="1996" spans="1:1" x14ac:dyDescent="0.25">
      <c r="A1996" s="4"/>
    </row>
    <row r="1997" spans="1:1" x14ac:dyDescent="0.25">
      <c r="A1997" s="4"/>
    </row>
    <row r="1998" spans="1:1" x14ac:dyDescent="0.25">
      <c r="A1998" s="4"/>
    </row>
    <row r="1999" spans="1:1" x14ac:dyDescent="0.25">
      <c r="A1999" s="4"/>
    </row>
    <row r="2000" spans="1:1" x14ac:dyDescent="0.25">
      <c r="A2000" s="4"/>
    </row>
    <row r="2001" spans="1:1" x14ac:dyDescent="0.25">
      <c r="A2001" s="4"/>
    </row>
    <row r="2002" spans="1:1" x14ac:dyDescent="0.25">
      <c r="A2002" s="4"/>
    </row>
    <row r="2003" spans="1:1" x14ac:dyDescent="0.25">
      <c r="A2003" s="4"/>
    </row>
    <row r="2004" spans="1:1" x14ac:dyDescent="0.25">
      <c r="A2004" s="4"/>
    </row>
    <row r="2005" spans="1:1" x14ac:dyDescent="0.25">
      <c r="A2005" s="4"/>
    </row>
    <row r="2006" spans="1:1" x14ac:dyDescent="0.25">
      <c r="A2006" s="4"/>
    </row>
    <row r="2007" spans="1:1" x14ac:dyDescent="0.25">
      <c r="A2007" s="4"/>
    </row>
    <row r="2008" spans="1:1" x14ac:dyDescent="0.25">
      <c r="A2008" s="4"/>
    </row>
    <row r="2009" spans="1:1" x14ac:dyDescent="0.25">
      <c r="A2009" s="4"/>
    </row>
    <row r="2010" spans="1:1" x14ac:dyDescent="0.25">
      <c r="A2010" s="4"/>
    </row>
    <row r="2011" spans="1:1" x14ac:dyDescent="0.25">
      <c r="A2011" s="4"/>
    </row>
    <row r="2012" spans="1:1" x14ac:dyDescent="0.25">
      <c r="A2012" s="4"/>
    </row>
    <row r="2013" spans="1:1" x14ac:dyDescent="0.25">
      <c r="A2013" s="4"/>
    </row>
    <row r="2014" spans="1:1" x14ac:dyDescent="0.25">
      <c r="A2014" s="4"/>
    </row>
    <row r="2015" spans="1:1" x14ac:dyDescent="0.25">
      <c r="A2015" s="4"/>
    </row>
    <row r="2016" spans="1:1" x14ac:dyDescent="0.25">
      <c r="A2016" s="4"/>
    </row>
    <row r="2017" spans="1:1" x14ac:dyDescent="0.25">
      <c r="A2017" s="4"/>
    </row>
    <row r="2018" spans="1:1" x14ac:dyDescent="0.25">
      <c r="A2018" s="4"/>
    </row>
    <row r="2019" spans="1:1" x14ac:dyDescent="0.25">
      <c r="A2019" s="4"/>
    </row>
    <row r="2020" spans="1:1" x14ac:dyDescent="0.25">
      <c r="A2020" s="4"/>
    </row>
    <row r="2021" spans="1:1" x14ac:dyDescent="0.25">
      <c r="A2021" s="4"/>
    </row>
    <row r="2022" spans="1:1" x14ac:dyDescent="0.25">
      <c r="A2022" s="4"/>
    </row>
    <row r="2023" spans="1:1" x14ac:dyDescent="0.25">
      <c r="A2023" s="4"/>
    </row>
    <row r="2024" spans="1:1" x14ac:dyDescent="0.25">
      <c r="A2024" s="4"/>
    </row>
    <row r="2025" spans="1:1" x14ac:dyDescent="0.25">
      <c r="A2025" s="4"/>
    </row>
    <row r="2026" spans="1:1" x14ac:dyDescent="0.25">
      <c r="A2026" s="4"/>
    </row>
    <row r="2027" spans="1:1" x14ac:dyDescent="0.25">
      <c r="A2027" s="4"/>
    </row>
    <row r="2028" spans="1:1" x14ac:dyDescent="0.25">
      <c r="A2028" s="4"/>
    </row>
    <row r="2029" spans="1:1" x14ac:dyDescent="0.25">
      <c r="A2029" s="4"/>
    </row>
    <row r="2030" spans="1:1" x14ac:dyDescent="0.25">
      <c r="A2030" s="4"/>
    </row>
    <row r="2031" spans="1:1" x14ac:dyDescent="0.25">
      <c r="A2031" s="4"/>
    </row>
    <row r="2032" spans="1:1" x14ac:dyDescent="0.25">
      <c r="A2032" s="4"/>
    </row>
    <row r="2033" spans="1:1" x14ac:dyDescent="0.25">
      <c r="A2033" s="4"/>
    </row>
    <row r="2034" spans="1:1" x14ac:dyDescent="0.25">
      <c r="A2034" s="4"/>
    </row>
    <row r="2035" spans="1:1" x14ac:dyDescent="0.25">
      <c r="A2035" s="4"/>
    </row>
    <row r="2036" spans="1:1" x14ac:dyDescent="0.25">
      <c r="A2036" s="4"/>
    </row>
    <row r="2037" spans="1:1" x14ac:dyDescent="0.25">
      <c r="A2037" s="4"/>
    </row>
    <row r="2038" spans="1:1" x14ac:dyDescent="0.25">
      <c r="A2038" s="4"/>
    </row>
    <row r="2039" spans="1:1" x14ac:dyDescent="0.25">
      <c r="A2039" s="4"/>
    </row>
    <row r="2040" spans="1:1" x14ac:dyDescent="0.25">
      <c r="A2040" s="4"/>
    </row>
    <row r="2041" spans="1:1" x14ac:dyDescent="0.25">
      <c r="A2041" s="4"/>
    </row>
    <row r="2042" spans="1:1" x14ac:dyDescent="0.25">
      <c r="A2042" s="4"/>
    </row>
    <row r="2043" spans="1:1" x14ac:dyDescent="0.25">
      <c r="A2043" s="4"/>
    </row>
    <row r="2044" spans="1:1" x14ac:dyDescent="0.25">
      <c r="A2044" s="4"/>
    </row>
    <row r="2045" spans="1:1" x14ac:dyDescent="0.25">
      <c r="A2045" s="4"/>
    </row>
    <row r="2046" spans="1:1" x14ac:dyDescent="0.25">
      <c r="A2046" s="4"/>
    </row>
    <row r="2047" spans="1:1" x14ac:dyDescent="0.25">
      <c r="A2047" s="4"/>
    </row>
    <row r="2048" spans="1:1" x14ac:dyDescent="0.25">
      <c r="A2048" s="4"/>
    </row>
    <row r="2049" spans="1:1" x14ac:dyDescent="0.25">
      <c r="A2049" s="4"/>
    </row>
    <row r="2050" spans="1:1" x14ac:dyDescent="0.25">
      <c r="A2050" s="4"/>
    </row>
    <row r="2051" spans="1:1" x14ac:dyDescent="0.25">
      <c r="A2051" s="4"/>
    </row>
    <row r="2052" spans="1:1" x14ac:dyDescent="0.25">
      <c r="A2052" s="4"/>
    </row>
    <row r="2053" spans="1:1" x14ac:dyDescent="0.25">
      <c r="A2053" s="4"/>
    </row>
    <row r="2054" spans="1:1" x14ac:dyDescent="0.25">
      <c r="A2054" s="4"/>
    </row>
    <row r="2055" spans="1:1" x14ac:dyDescent="0.25">
      <c r="A2055" s="4"/>
    </row>
    <row r="2056" spans="1:1" x14ac:dyDescent="0.25">
      <c r="A2056" s="4"/>
    </row>
    <row r="2057" spans="1:1" x14ac:dyDescent="0.25">
      <c r="A2057" s="4"/>
    </row>
    <row r="2058" spans="1:1" x14ac:dyDescent="0.25">
      <c r="A2058" s="4"/>
    </row>
    <row r="2059" spans="1:1" x14ac:dyDescent="0.25">
      <c r="A2059" s="4"/>
    </row>
    <row r="2060" spans="1:1" x14ac:dyDescent="0.25">
      <c r="A2060" s="4"/>
    </row>
    <row r="2061" spans="1:1" x14ac:dyDescent="0.25">
      <c r="A2061" s="4"/>
    </row>
    <row r="2062" spans="1:1" x14ac:dyDescent="0.25">
      <c r="A2062" s="4"/>
    </row>
    <row r="2063" spans="1:1" x14ac:dyDescent="0.25">
      <c r="A2063" s="4"/>
    </row>
    <row r="2064" spans="1:1" x14ac:dyDescent="0.25">
      <c r="A2064" s="4"/>
    </row>
    <row r="2065" spans="1:1" x14ac:dyDescent="0.25">
      <c r="A2065" s="4"/>
    </row>
    <row r="2066" spans="1:1" x14ac:dyDescent="0.25">
      <c r="A2066" s="4"/>
    </row>
    <row r="2067" spans="1:1" x14ac:dyDescent="0.25">
      <c r="A2067" s="4"/>
    </row>
    <row r="2068" spans="1:1" x14ac:dyDescent="0.25">
      <c r="A2068" s="4"/>
    </row>
    <row r="2069" spans="1:1" x14ac:dyDescent="0.25">
      <c r="A2069" s="4"/>
    </row>
    <row r="2070" spans="1:1" x14ac:dyDescent="0.25">
      <c r="A2070" s="4"/>
    </row>
    <row r="2071" spans="1:1" x14ac:dyDescent="0.25">
      <c r="A2071" s="4"/>
    </row>
    <row r="2072" spans="1:1" x14ac:dyDescent="0.25">
      <c r="A2072" s="4"/>
    </row>
    <row r="2073" spans="1:1" x14ac:dyDescent="0.25">
      <c r="A2073" s="4"/>
    </row>
    <row r="2074" spans="1:1" x14ac:dyDescent="0.25">
      <c r="A2074" s="4"/>
    </row>
    <row r="2075" spans="1:1" x14ac:dyDescent="0.25">
      <c r="A2075" s="4"/>
    </row>
    <row r="2076" spans="1:1" x14ac:dyDescent="0.25">
      <c r="A2076" s="4"/>
    </row>
    <row r="2077" spans="1:1" x14ac:dyDescent="0.25">
      <c r="A2077" s="4"/>
    </row>
    <row r="2078" spans="1:1" x14ac:dyDescent="0.25">
      <c r="A2078" s="4"/>
    </row>
    <row r="2079" spans="1:1" x14ac:dyDescent="0.25">
      <c r="A2079" s="4"/>
    </row>
    <row r="2080" spans="1:1" x14ac:dyDescent="0.25">
      <c r="A2080" s="4"/>
    </row>
    <row r="2081" spans="1:1" x14ac:dyDescent="0.25">
      <c r="A2081" s="4"/>
    </row>
    <row r="2082" spans="1:1" x14ac:dyDescent="0.25">
      <c r="A2082" s="4"/>
    </row>
    <row r="2083" spans="1:1" x14ac:dyDescent="0.25">
      <c r="A2083" s="4"/>
    </row>
    <row r="2084" spans="1:1" x14ac:dyDescent="0.25">
      <c r="A2084" s="4"/>
    </row>
    <row r="2085" spans="1:1" x14ac:dyDescent="0.25">
      <c r="A2085" s="4"/>
    </row>
    <row r="2086" spans="1:1" x14ac:dyDescent="0.25">
      <c r="A2086" s="4"/>
    </row>
    <row r="2087" spans="1:1" x14ac:dyDescent="0.25">
      <c r="A2087" s="4"/>
    </row>
    <row r="2088" spans="1:1" x14ac:dyDescent="0.25">
      <c r="A2088" s="4"/>
    </row>
    <row r="2089" spans="1:1" x14ac:dyDescent="0.25">
      <c r="A2089" s="4"/>
    </row>
    <row r="2090" spans="1:1" x14ac:dyDescent="0.25">
      <c r="A2090" s="4"/>
    </row>
    <row r="2091" spans="1:1" x14ac:dyDescent="0.25">
      <c r="A2091" s="4"/>
    </row>
    <row r="2092" spans="1:1" x14ac:dyDescent="0.25">
      <c r="A2092" s="4"/>
    </row>
    <row r="2093" spans="1:1" x14ac:dyDescent="0.25">
      <c r="A2093" s="4"/>
    </row>
    <row r="2094" spans="1:1" x14ac:dyDescent="0.25">
      <c r="A2094" s="4"/>
    </row>
    <row r="2095" spans="1:1" x14ac:dyDescent="0.25">
      <c r="A2095" s="4"/>
    </row>
    <row r="2096" spans="1:1" x14ac:dyDescent="0.25">
      <c r="A2096" s="4"/>
    </row>
    <row r="2097" spans="1:1" x14ac:dyDescent="0.25">
      <c r="A2097" s="4"/>
    </row>
    <row r="2098" spans="1:1" x14ac:dyDescent="0.25">
      <c r="A2098" s="4"/>
    </row>
    <row r="2099" spans="1:1" x14ac:dyDescent="0.25">
      <c r="A2099" s="4"/>
    </row>
    <row r="2100" spans="1:1" x14ac:dyDescent="0.25">
      <c r="A2100" s="4"/>
    </row>
    <row r="2101" spans="1:1" x14ac:dyDescent="0.25">
      <c r="A2101" s="4"/>
    </row>
    <row r="2102" spans="1:1" x14ac:dyDescent="0.25">
      <c r="A2102" s="4"/>
    </row>
    <row r="2103" spans="1:1" x14ac:dyDescent="0.25">
      <c r="A2103" s="4"/>
    </row>
    <row r="2104" spans="1:1" x14ac:dyDescent="0.25">
      <c r="A2104" s="4"/>
    </row>
    <row r="2105" spans="1:1" x14ac:dyDescent="0.25">
      <c r="A2105" s="4"/>
    </row>
    <row r="2106" spans="1:1" x14ac:dyDescent="0.25">
      <c r="A2106" s="4"/>
    </row>
    <row r="2107" spans="1:1" x14ac:dyDescent="0.25">
      <c r="A2107" s="4"/>
    </row>
    <row r="2108" spans="1:1" x14ac:dyDescent="0.25">
      <c r="A2108" s="4"/>
    </row>
    <row r="2109" spans="1:1" x14ac:dyDescent="0.25">
      <c r="A2109" s="4"/>
    </row>
    <row r="2110" spans="1:1" x14ac:dyDescent="0.25">
      <c r="A2110" s="4"/>
    </row>
    <row r="2111" spans="1:1" x14ac:dyDescent="0.25">
      <c r="A2111" s="4"/>
    </row>
    <row r="2112" spans="1:1" x14ac:dyDescent="0.25">
      <c r="A2112" s="4"/>
    </row>
    <row r="2113" spans="1:1" x14ac:dyDescent="0.25">
      <c r="A2113" s="4"/>
    </row>
    <row r="2114" spans="1:1" x14ac:dyDescent="0.25">
      <c r="A2114" s="4"/>
    </row>
    <row r="2115" spans="1:1" x14ac:dyDescent="0.25">
      <c r="A2115" s="4"/>
    </row>
    <row r="2116" spans="1:1" x14ac:dyDescent="0.25">
      <c r="A2116" s="4"/>
    </row>
    <row r="2117" spans="1:1" x14ac:dyDescent="0.25">
      <c r="A2117" s="4"/>
    </row>
    <row r="2118" spans="1:1" x14ac:dyDescent="0.25">
      <c r="A2118" s="4"/>
    </row>
    <row r="2119" spans="1:1" x14ac:dyDescent="0.25">
      <c r="A2119" s="4"/>
    </row>
    <row r="2120" spans="1:1" x14ac:dyDescent="0.25">
      <c r="A2120" s="4"/>
    </row>
    <row r="2121" spans="1:1" x14ac:dyDescent="0.25">
      <c r="A2121" s="4"/>
    </row>
    <row r="2122" spans="1:1" x14ac:dyDescent="0.25">
      <c r="A2122" s="4"/>
    </row>
    <row r="2123" spans="1:1" x14ac:dyDescent="0.25">
      <c r="A2123" s="4"/>
    </row>
    <row r="2124" spans="1:1" x14ac:dyDescent="0.25">
      <c r="A2124" s="4"/>
    </row>
    <row r="2125" spans="1:1" x14ac:dyDescent="0.25">
      <c r="A2125" s="4"/>
    </row>
    <row r="2126" spans="1:1" x14ac:dyDescent="0.25">
      <c r="A2126" s="4"/>
    </row>
    <row r="2127" spans="1:1" x14ac:dyDescent="0.25">
      <c r="A2127" s="4"/>
    </row>
    <row r="2128" spans="1:1" x14ac:dyDescent="0.25">
      <c r="A2128" s="4"/>
    </row>
    <row r="2129" spans="1:1" x14ac:dyDescent="0.25">
      <c r="A2129" s="4"/>
    </row>
    <row r="2130" spans="1:1" x14ac:dyDescent="0.25">
      <c r="A2130" s="4"/>
    </row>
    <row r="2131" spans="1:1" x14ac:dyDescent="0.25">
      <c r="A2131" s="4"/>
    </row>
    <row r="2132" spans="1:1" x14ac:dyDescent="0.25">
      <c r="A2132" s="4"/>
    </row>
    <row r="2133" spans="1:1" x14ac:dyDescent="0.25">
      <c r="A2133" s="4"/>
    </row>
    <row r="2134" spans="1:1" x14ac:dyDescent="0.25">
      <c r="A2134" s="4"/>
    </row>
    <row r="2135" spans="1:1" x14ac:dyDescent="0.25">
      <c r="A2135" s="4"/>
    </row>
    <row r="2136" spans="1:1" x14ac:dyDescent="0.25">
      <c r="A2136" s="4"/>
    </row>
    <row r="2137" spans="1:1" x14ac:dyDescent="0.25">
      <c r="A2137" s="4"/>
    </row>
    <row r="2138" spans="1:1" x14ac:dyDescent="0.25">
      <c r="A2138" s="4"/>
    </row>
    <row r="2139" spans="1:1" x14ac:dyDescent="0.25">
      <c r="A2139" s="4"/>
    </row>
    <row r="2140" spans="1:1" x14ac:dyDescent="0.25">
      <c r="A2140" s="4"/>
    </row>
    <row r="2141" spans="1:1" x14ac:dyDescent="0.25">
      <c r="A2141" s="4"/>
    </row>
    <row r="2142" spans="1:1" x14ac:dyDescent="0.25">
      <c r="A2142" s="4"/>
    </row>
    <row r="2143" spans="1:1" x14ac:dyDescent="0.25">
      <c r="A2143" s="4"/>
    </row>
    <row r="2144" spans="1:1" x14ac:dyDescent="0.25">
      <c r="A2144" s="4"/>
    </row>
    <row r="2145" spans="1:1" x14ac:dyDescent="0.25">
      <c r="A2145" s="4"/>
    </row>
    <row r="2146" spans="1:1" x14ac:dyDescent="0.25">
      <c r="A2146" s="4"/>
    </row>
    <row r="2147" spans="1:1" x14ac:dyDescent="0.25">
      <c r="A2147" s="4"/>
    </row>
    <row r="2148" spans="1:1" x14ac:dyDescent="0.25">
      <c r="A2148" s="4"/>
    </row>
    <row r="2149" spans="1:1" x14ac:dyDescent="0.25">
      <c r="A2149" s="4"/>
    </row>
    <row r="2150" spans="1:1" x14ac:dyDescent="0.25">
      <c r="A2150" s="4"/>
    </row>
    <row r="2151" spans="1:1" x14ac:dyDescent="0.25">
      <c r="A2151" s="4"/>
    </row>
    <row r="2152" spans="1:1" x14ac:dyDescent="0.25">
      <c r="A2152" s="4"/>
    </row>
    <row r="2153" spans="1:1" x14ac:dyDescent="0.25">
      <c r="A2153" s="4"/>
    </row>
    <row r="2154" spans="1:1" x14ac:dyDescent="0.25">
      <c r="A2154" s="4"/>
    </row>
    <row r="2155" spans="1:1" x14ac:dyDescent="0.25">
      <c r="A2155" s="4"/>
    </row>
    <row r="2156" spans="1:1" x14ac:dyDescent="0.25">
      <c r="A2156" s="4"/>
    </row>
    <row r="2157" spans="1:1" x14ac:dyDescent="0.25">
      <c r="A2157" s="4"/>
    </row>
    <row r="2158" spans="1:1" x14ac:dyDescent="0.25">
      <c r="A2158" s="4"/>
    </row>
    <row r="2159" spans="1:1" x14ac:dyDescent="0.25">
      <c r="A2159" s="4"/>
    </row>
    <row r="2160" spans="1:1" x14ac:dyDescent="0.25">
      <c r="A2160" s="4"/>
    </row>
    <row r="2161" spans="1:1" x14ac:dyDescent="0.25">
      <c r="A2161" s="4"/>
    </row>
    <row r="2162" spans="1:1" x14ac:dyDescent="0.25">
      <c r="A2162" s="4"/>
    </row>
    <row r="2163" spans="1:1" x14ac:dyDescent="0.25">
      <c r="A2163" s="4"/>
    </row>
    <row r="2164" spans="1:1" x14ac:dyDescent="0.25">
      <c r="A2164" s="4"/>
    </row>
    <row r="2165" spans="1:1" x14ac:dyDescent="0.25">
      <c r="A2165" s="4"/>
    </row>
    <row r="2166" spans="1:1" x14ac:dyDescent="0.25">
      <c r="A2166" s="4"/>
    </row>
    <row r="2167" spans="1:1" x14ac:dyDescent="0.25">
      <c r="A2167" s="4"/>
    </row>
    <row r="2168" spans="1:1" x14ac:dyDescent="0.25">
      <c r="A2168" s="4"/>
    </row>
    <row r="2169" spans="1:1" x14ac:dyDescent="0.25">
      <c r="A2169" s="4"/>
    </row>
    <row r="2170" spans="1:1" x14ac:dyDescent="0.25">
      <c r="A2170" s="4"/>
    </row>
    <row r="2171" spans="1:1" x14ac:dyDescent="0.25">
      <c r="A2171" s="4"/>
    </row>
    <row r="2172" spans="1:1" x14ac:dyDescent="0.25">
      <c r="A2172" s="4"/>
    </row>
    <row r="2173" spans="1:1" x14ac:dyDescent="0.25">
      <c r="A2173" s="5"/>
    </row>
    <row r="2174" spans="1:1" x14ac:dyDescent="0.25">
      <c r="A2174" s="4"/>
    </row>
    <row r="2175" spans="1:1" x14ac:dyDescent="0.25">
      <c r="A2175" s="4"/>
    </row>
    <row r="2176" spans="1:1" x14ac:dyDescent="0.25">
      <c r="A2176" s="4"/>
    </row>
    <row r="2177" spans="1:1" x14ac:dyDescent="0.25">
      <c r="A2177" s="4"/>
    </row>
    <row r="2178" spans="1:1" x14ac:dyDescent="0.25">
      <c r="A2178" s="4"/>
    </row>
    <row r="2179" spans="1:1" x14ac:dyDescent="0.25">
      <c r="A2179" s="4"/>
    </row>
    <row r="2180" spans="1:1" x14ac:dyDescent="0.25">
      <c r="A2180" s="4"/>
    </row>
    <row r="2181" spans="1:1" x14ac:dyDescent="0.25">
      <c r="A2181" s="4"/>
    </row>
    <row r="2182" spans="1:1" x14ac:dyDescent="0.25">
      <c r="A2182" s="4"/>
    </row>
    <row r="2183" spans="1:1" x14ac:dyDescent="0.25">
      <c r="A2183" s="4"/>
    </row>
    <row r="2184" spans="1:1" x14ac:dyDescent="0.25">
      <c r="A2184" s="4"/>
    </row>
    <row r="2185" spans="1:1" x14ac:dyDescent="0.25">
      <c r="A2185" s="4"/>
    </row>
    <row r="2186" spans="1:1" x14ac:dyDescent="0.25">
      <c r="A2186" s="4"/>
    </row>
    <row r="2187" spans="1:1" x14ac:dyDescent="0.25">
      <c r="A2187" s="4"/>
    </row>
    <row r="2188" spans="1:1" x14ac:dyDescent="0.25">
      <c r="A2188" s="4"/>
    </row>
    <row r="2189" spans="1:1" x14ac:dyDescent="0.25">
      <c r="A2189" s="4"/>
    </row>
    <row r="2190" spans="1:1" x14ac:dyDescent="0.25">
      <c r="A2190" s="4"/>
    </row>
    <row r="2191" spans="1:1" x14ac:dyDescent="0.25">
      <c r="A2191" s="4"/>
    </row>
    <row r="2192" spans="1:1" x14ac:dyDescent="0.25">
      <c r="A2192" s="4"/>
    </row>
    <row r="2193" spans="1:1" x14ac:dyDescent="0.25">
      <c r="A2193" s="4"/>
    </row>
    <row r="2194" spans="1:1" x14ac:dyDescent="0.25">
      <c r="A2194" s="4"/>
    </row>
    <row r="2195" spans="1:1" x14ac:dyDescent="0.25">
      <c r="A2195" s="4"/>
    </row>
    <row r="2196" spans="1:1" x14ac:dyDescent="0.25">
      <c r="A2196" s="4"/>
    </row>
    <row r="2197" spans="1:1" x14ac:dyDescent="0.25">
      <c r="A2197" s="4"/>
    </row>
    <row r="2198" spans="1:1" x14ac:dyDescent="0.25">
      <c r="A2198" s="4"/>
    </row>
    <row r="2199" spans="1:1" x14ac:dyDescent="0.25">
      <c r="A2199" s="4"/>
    </row>
    <row r="2200" spans="1:1" x14ac:dyDescent="0.25">
      <c r="A2200" s="4"/>
    </row>
    <row r="2201" spans="1:1" x14ac:dyDescent="0.25">
      <c r="A2201" s="4"/>
    </row>
    <row r="2202" spans="1:1" x14ac:dyDescent="0.25">
      <c r="A2202" s="4"/>
    </row>
    <row r="2203" spans="1:1" x14ac:dyDescent="0.25">
      <c r="A2203" s="4"/>
    </row>
    <row r="2204" spans="1:1" x14ac:dyDescent="0.25">
      <c r="A2204" s="4"/>
    </row>
    <row r="2205" spans="1:1" x14ac:dyDescent="0.25">
      <c r="A2205" s="4"/>
    </row>
    <row r="2206" spans="1:1" x14ac:dyDescent="0.25">
      <c r="A2206" s="4"/>
    </row>
    <row r="2207" spans="1:1" x14ac:dyDescent="0.25">
      <c r="A2207" s="4"/>
    </row>
    <row r="2208" spans="1:1" x14ac:dyDescent="0.25">
      <c r="A2208" s="4"/>
    </row>
    <row r="2209" spans="1:1" x14ac:dyDescent="0.25">
      <c r="A2209" s="4"/>
    </row>
    <row r="2210" spans="1:1" x14ac:dyDescent="0.25">
      <c r="A2210" s="4"/>
    </row>
    <row r="2211" spans="1:1" x14ac:dyDescent="0.25">
      <c r="A2211" s="4"/>
    </row>
    <row r="2212" spans="1:1" x14ac:dyDescent="0.25">
      <c r="A2212" s="4"/>
    </row>
    <row r="2213" spans="1:1" x14ac:dyDescent="0.25">
      <c r="A2213" s="4"/>
    </row>
    <row r="2214" spans="1:1" x14ac:dyDescent="0.25">
      <c r="A2214" s="4"/>
    </row>
    <row r="2215" spans="1:1" x14ac:dyDescent="0.25">
      <c r="A2215" s="4"/>
    </row>
    <row r="2216" spans="1:1" x14ac:dyDescent="0.25">
      <c r="A2216" s="4"/>
    </row>
    <row r="2217" spans="1:1" x14ac:dyDescent="0.25">
      <c r="A2217" s="4"/>
    </row>
    <row r="2218" spans="1:1" x14ac:dyDescent="0.25">
      <c r="A2218" s="4"/>
    </row>
    <row r="2219" spans="1:1" x14ac:dyDescent="0.25">
      <c r="A2219" s="4"/>
    </row>
    <row r="2220" spans="1:1" x14ac:dyDescent="0.25">
      <c r="A2220" s="4"/>
    </row>
    <row r="2221" spans="1:1" x14ac:dyDescent="0.25">
      <c r="A2221" s="4"/>
    </row>
    <row r="2222" spans="1:1" x14ac:dyDescent="0.25">
      <c r="A2222" s="4"/>
    </row>
    <row r="2223" spans="1:1" x14ac:dyDescent="0.25">
      <c r="A2223" s="4"/>
    </row>
    <row r="2224" spans="1:1" x14ac:dyDescent="0.25">
      <c r="A2224" s="4"/>
    </row>
    <row r="2225" spans="1:1" x14ac:dyDescent="0.25">
      <c r="A2225" s="4"/>
    </row>
    <row r="2226" spans="1:1" x14ac:dyDescent="0.25">
      <c r="A2226" s="4"/>
    </row>
    <row r="2227" spans="1:1" x14ac:dyDescent="0.25">
      <c r="A2227" s="4"/>
    </row>
    <row r="2228" spans="1:1" x14ac:dyDescent="0.25">
      <c r="A2228" s="4"/>
    </row>
    <row r="2229" spans="1:1" x14ac:dyDescent="0.25">
      <c r="A2229" s="4"/>
    </row>
    <row r="2230" spans="1:1" x14ac:dyDescent="0.25">
      <c r="A2230" s="4"/>
    </row>
    <row r="2231" spans="1:1" x14ac:dyDescent="0.25">
      <c r="A2231" s="4"/>
    </row>
    <row r="2232" spans="1:1" x14ac:dyDescent="0.25">
      <c r="A2232" s="4"/>
    </row>
    <row r="2233" spans="1:1" x14ac:dyDescent="0.25">
      <c r="A2233" s="4"/>
    </row>
    <row r="2234" spans="1:1" x14ac:dyDescent="0.25">
      <c r="A2234" s="4"/>
    </row>
    <row r="2235" spans="1:1" x14ac:dyDescent="0.25">
      <c r="A2235" s="4"/>
    </row>
    <row r="2236" spans="1:1" x14ac:dyDescent="0.25">
      <c r="A2236" s="4"/>
    </row>
    <row r="2237" spans="1:1" x14ac:dyDescent="0.25">
      <c r="A2237" s="4"/>
    </row>
    <row r="2238" spans="1:1" x14ac:dyDescent="0.25">
      <c r="A2238" s="4"/>
    </row>
    <row r="2239" spans="1:1" x14ac:dyDescent="0.25">
      <c r="A2239" s="4"/>
    </row>
    <row r="2240" spans="1:1" x14ac:dyDescent="0.25">
      <c r="A2240" s="4"/>
    </row>
    <row r="2241" spans="1:1" x14ac:dyDescent="0.25">
      <c r="A2241" s="4"/>
    </row>
    <row r="2242" spans="1:1" x14ac:dyDescent="0.25">
      <c r="A2242" s="4"/>
    </row>
    <row r="2243" spans="1:1" x14ac:dyDescent="0.25">
      <c r="A2243" s="4"/>
    </row>
    <row r="2244" spans="1:1" x14ac:dyDescent="0.25">
      <c r="A2244" s="4"/>
    </row>
    <row r="2245" spans="1:1" x14ac:dyDescent="0.25">
      <c r="A2245" s="4"/>
    </row>
    <row r="2246" spans="1:1" x14ac:dyDescent="0.25">
      <c r="A2246" s="4"/>
    </row>
    <row r="2247" spans="1:1" x14ac:dyDescent="0.25">
      <c r="A2247" s="4"/>
    </row>
    <row r="2248" spans="1:1" x14ac:dyDescent="0.25">
      <c r="A2248" s="4"/>
    </row>
    <row r="2249" spans="1:1" x14ac:dyDescent="0.25">
      <c r="A2249" s="4"/>
    </row>
    <row r="2250" spans="1:1" x14ac:dyDescent="0.25">
      <c r="A2250" s="4"/>
    </row>
    <row r="2251" spans="1:1" x14ac:dyDescent="0.25">
      <c r="A2251" s="4"/>
    </row>
    <row r="2252" spans="1:1" x14ac:dyDescent="0.25">
      <c r="A2252" s="4"/>
    </row>
    <row r="2253" spans="1:1" x14ac:dyDescent="0.25">
      <c r="A2253" s="4"/>
    </row>
    <row r="2254" spans="1:1" x14ac:dyDescent="0.25">
      <c r="A2254" s="4"/>
    </row>
    <row r="2255" spans="1:1" x14ac:dyDescent="0.25">
      <c r="A2255" s="4"/>
    </row>
    <row r="2256" spans="1:1" x14ac:dyDescent="0.25">
      <c r="A2256" s="4"/>
    </row>
    <row r="2257" spans="1:1" x14ac:dyDescent="0.25">
      <c r="A2257" s="4"/>
    </row>
    <row r="2258" spans="1:1" x14ac:dyDescent="0.25">
      <c r="A2258" s="4"/>
    </row>
    <row r="2259" spans="1:1" x14ac:dyDescent="0.25">
      <c r="A2259" s="4"/>
    </row>
    <row r="2260" spans="1:1" x14ac:dyDescent="0.25">
      <c r="A2260" s="4"/>
    </row>
    <row r="2261" spans="1:1" x14ac:dyDescent="0.25">
      <c r="A2261" s="4"/>
    </row>
    <row r="2262" spans="1:1" x14ac:dyDescent="0.25">
      <c r="A2262" s="4"/>
    </row>
    <row r="2263" spans="1:1" x14ac:dyDescent="0.25">
      <c r="A2263" s="4"/>
    </row>
    <row r="2264" spans="1:1" x14ac:dyDescent="0.25">
      <c r="A2264" s="4"/>
    </row>
    <row r="2265" spans="1:1" x14ac:dyDescent="0.25">
      <c r="A2265" s="4"/>
    </row>
    <row r="2266" spans="1:1" x14ac:dyDescent="0.25">
      <c r="A2266" s="4"/>
    </row>
    <row r="2267" spans="1:1" x14ac:dyDescent="0.25">
      <c r="A2267" s="4"/>
    </row>
    <row r="2268" spans="1:1" x14ac:dyDescent="0.25">
      <c r="A2268" s="4"/>
    </row>
    <row r="2269" spans="1:1" x14ac:dyDescent="0.25">
      <c r="A2269" s="4"/>
    </row>
    <row r="2270" spans="1:1" x14ac:dyDescent="0.25">
      <c r="A2270" s="4"/>
    </row>
    <row r="2271" spans="1:1" x14ac:dyDescent="0.25">
      <c r="A2271" s="4"/>
    </row>
    <row r="2272" spans="1:1" x14ac:dyDescent="0.25">
      <c r="A2272" s="4"/>
    </row>
    <row r="2273" spans="1:1" x14ac:dyDescent="0.25">
      <c r="A2273" s="4"/>
    </row>
    <row r="2274" spans="1:1" x14ac:dyDescent="0.25">
      <c r="A2274" s="4"/>
    </row>
    <row r="2275" spans="1:1" x14ac:dyDescent="0.25">
      <c r="A2275" s="4"/>
    </row>
    <row r="2276" spans="1:1" x14ac:dyDescent="0.25">
      <c r="A2276" s="4"/>
    </row>
    <row r="2277" spans="1:1" x14ac:dyDescent="0.25">
      <c r="A2277" s="4"/>
    </row>
    <row r="2278" spans="1:1" x14ac:dyDescent="0.25">
      <c r="A2278" s="4"/>
    </row>
    <row r="2279" spans="1:1" x14ac:dyDescent="0.25">
      <c r="A2279" s="4"/>
    </row>
    <row r="2280" spans="1:1" x14ac:dyDescent="0.25">
      <c r="A2280" s="4"/>
    </row>
    <row r="2281" spans="1:1" x14ac:dyDescent="0.25">
      <c r="A2281" s="4"/>
    </row>
    <row r="2282" spans="1:1" x14ac:dyDescent="0.25">
      <c r="A2282" s="4"/>
    </row>
    <row r="2283" spans="1:1" x14ac:dyDescent="0.25">
      <c r="A2283" s="4"/>
    </row>
    <row r="2284" spans="1:1" x14ac:dyDescent="0.25">
      <c r="A2284" s="4"/>
    </row>
    <row r="2285" spans="1:1" x14ac:dyDescent="0.25">
      <c r="A2285" s="4"/>
    </row>
    <row r="2286" spans="1:1" x14ac:dyDescent="0.25">
      <c r="A2286" s="4"/>
    </row>
    <row r="2287" spans="1:1" x14ac:dyDescent="0.25">
      <c r="A2287" s="4"/>
    </row>
    <row r="2288" spans="1:1" x14ac:dyDescent="0.25">
      <c r="A2288" s="4"/>
    </row>
    <row r="2289" spans="1:1" x14ac:dyDescent="0.25">
      <c r="A2289" s="4"/>
    </row>
    <row r="2290" spans="1:1" x14ac:dyDescent="0.25">
      <c r="A2290" s="4"/>
    </row>
    <row r="2291" spans="1:1" x14ac:dyDescent="0.25">
      <c r="A2291" s="4"/>
    </row>
    <row r="2292" spans="1:1" x14ac:dyDescent="0.25">
      <c r="A2292" s="4"/>
    </row>
    <row r="2293" spans="1:1" x14ac:dyDescent="0.25">
      <c r="A2293" s="4"/>
    </row>
    <row r="2294" spans="1:1" x14ac:dyDescent="0.25">
      <c r="A2294" s="4"/>
    </row>
    <row r="2295" spans="1:1" x14ac:dyDescent="0.25">
      <c r="A2295" s="4"/>
    </row>
    <row r="2296" spans="1:1" x14ac:dyDescent="0.25">
      <c r="A2296" s="4"/>
    </row>
    <row r="2297" spans="1:1" x14ac:dyDescent="0.25">
      <c r="A2297" s="4"/>
    </row>
    <row r="2298" spans="1:1" x14ac:dyDescent="0.25">
      <c r="A2298" s="4"/>
    </row>
    <row r="2299" spans="1:1" x14ac:dyDescent="0.25">
      <c r="A2299" s="4"/>
    </row>
    <row r="2300" spans="1:1" x14ac:dyDescent="0.25">
      <c r="A2300" s="4"/>
    </row>
    <row r="2301" spans="1:1" x14ac:dyDescent="0.25">
      <c r="A2301" s="4"/>
    </row>
    <row r="2302" spans="1:1" x14ac:dyDescent="0.25">
      <c r="A2302" s="4"/>
    </row>
    <row r="2303" spans="1:1" x14ac:dyDescent="0.25">
      <c r="A2303" s="4"/>
    </row>
    <row r="2304" spans="1:1" x14ac:dyDescent="0.25">
      <c r="A2304" s="4"/>
    </row>
    <row r="2305" spans="1:1" x14ac:dyDescent="0.25">
      <c r="A2305" s="4"/>
    </row>
    <row r="2306" spans="1:1" x14ac:dyDescent="0.25">
      <c r="A2306" s="4"/>
    </row>
    <row r="2307" spans="1:1" x14ac:dyDescent="0.25">
      <c r="A2307" s="4"/>
    </row>
    <row r="2308" spans="1:1" x14ac:dyDescent="0.25">
      <c r="A2308" s="4"/>
    </row>
    <row r="2309" spans="1:1" x14ac:dyDescent="0.25">
      <c r="A2309" s="4"/>
    </row>
    <row r="2310" spans="1:1" x14ac:dyDescent="0.25">
      <c r="A2310" s="4"/>
    </row>
    <row r="2311" spans="1:1" x14ac:dyDescent="0.25">
      <c r="A2311" s="4"/>
    </row>
    <row r="2312" spans="1:1" x14ac:dyDescent="0.25">
      <c r="A2312" s="4"/>
    </row>
    <row r="2313" spans="1:1" x14ac:dyDescent="0.25">
      <c r="A2313" s="4"/>
    </row>
    <row r="2314" spans="1:1" x14ac:dyDescent="0.25">
      <c r="A2314" s="4"/>
    </row>
    <row r="2315" spans="1:1" x14ac:dyDescent="0.25">
      <c r="A2315" s="4"/>
    </row>
    <row r="2316" spans="1:1" x14ac:dyDescent="0.25">
      <c r="A2316" s="4"/>
    </row>
    <row r="2317" spans="1:1" x14ac:dyDescent="0.25">
      <c r="A2317" s="4"/>
    </row>
    <row r="2318" spans="1:1" x14ac:dyDescent="0.25">
      <c r="A2318" s="4"/>
    </row>
    <row r="2319" spans="1:1" x14ac:dyDescent="0.25">
      <c r="A2319" s="4"/>
    </row>
    <row r="2320" spans="1:1" x14ac:dyDescent="0.25">
      <c r="A2320" s="4"/>
    </row>
    <row r="2321" spans="1:1" x14ac:dyDescent="0.25">
      <c r="A2321" s="4"/>
    </row>
    <row r="2322" spans="1:1" x14ac:dyDescent="0.25">
      <c r="A2322" s="4"/>
    </row>
    <row r="2323" spans="1:1" x14ac:dyDescent="0.25">
      <c r="A2323" s="4"/>
    </row>
    <row r="2324" spans="1:1" x14ac:dyDescent="0.25">
      <c r="A2324" s="4"/>
    </row>
    <row r="2325" spans="1:1" x14ac:dyDescent="0.25">
      <c r="A2325" s="4"/>
    </row>
    <row r="2326" spans="1:1" x14ac:dyDescent="0.25">
      <c r="A2326" s="4"/>
    </row>
    <row r="2327" spans="1:1" x14ac:dyDescent="0.25">
      <c r="A2327" s="4"/>
    </row>
    <row r="2328" spans="1:1" x14ac:dyDescent="0.25">
      <c r="A2328" s="4"/>
    </row>
    <row r="2329" spans="1:1" x14ac:dyDescent="0.25">
      <c r="A2329" s="4"/>
    </row>
    <row r="2330" spans="1:1" x14ac:dyDescent="0.25">
      <c r="A2330" s="4"/>
    </row>
    <row r="2331" spans="1:1" x14ac:dyDescent="0.25">
      <c r="A2331" s="4"/>
    </row>
    <row r="2332" spans="1:1" x14ac:dyDescent="0.25">
      <c r="A2332" s="4"/>
    </row>
    <row r="2333" spans="1:1" x14ac:dyDescent="0.25">
      <c r="A2333" s="4"/>
    </row>
    <row r="2334" spans="1:1" x14ac:dyDescent="0.25">
      <c r="A2334" s="4"/>
    </row>
    <row r="2335" spans="1:1" x14ac:dyDescent="0.25">
      <c r="A2335" s="4"/>
    </row>
    <row r="2336" spans="1:1" x14ac:dyDescent="0.25">
      <c r="A2336" s="4"/>
    </row>
    <row r="2337" spans="1:1" x14ac:dyDescent="0.25">
      <c r="A2337" s="4"/>
    </row>
    <row r="2338" spans="1:1" x14ac:dyDescent="0.25">
      <c r="A2338" s="4"/>
    </row>
    <row r="2339" spans="1:1" x14ac:dyDescent="0.25">
      <c r="A2339" s="4"/>
    </row>
    <row r="2340" spans="1:1" x14ac:dyDescent="0.25">
      <c r="A2340" s="4"/>
    </row>
    <row r="2341" spans="1:1" x14ac:dyDescent="0.25">
      <c r="A2341" s="4"/>
    </row>
    <row r="2342" spans="1:1" x14ac:dyDescent="0.25">
      <c r="A2342" s="4"/>
    </row>
    <row r="2343" spans="1:1" x14ac:dyDescent="0.25">
      <c r="A2343" s="4"/>
    </row>
    <row r="2344" spans="1:1" x14ac:dyDescent="0.25">
      <c r="A2344" s="4"/>
    </row>
    <row r="2345" spans="1:1" x14ac:dyDescent="0.25">
      <c r="A2345" s="4"/>
    </row>
    <row r="2346" spans="1:1" x14ac:dyDescent="0.25">
      <c r="A2346" s="4"/>
    </row>
    <row r="2347" spans="1:1" x14ac:dyDescent="0.25">
      <c r="A2347" s="4"/>
    </row>
    <row r="2348" spans="1:1" x14ac:dyDescent="0.25">
      <c r="A2348" s="4"/>
    </row>
    <row r="2349" spans="1:1" x14ac:dyDescent="0.25">
      <c r="A2349" s="4"/>
    </row>
    <row r="2350" spans="1:1" x14ac:dyDescent="0.25">
      <c r="A2350" s="4"/>
    </row>
    <row r="2351" spans="1:1" x14ac:dyDescent="0.25">
      <c r="A2351" s="4"/>
    </row>
    <row r="2352" spans="1:1" x14ac:dyDescent="0.25">
      <c r="A2352" s="4"/>
    </row>
    <row r="2353" spans="1:1" x14ac:dyDescent="0.25">
      <c r="A2353" s="4"/>
    </row>
    <row r="2354" spans="1:1" x14ac:dyDescent="0.25">
      <c r="A2354" s="4"/>
    </row>
    <row r="2355" spans="1:1" x14ac:dyDescent="0.25">
      <c r="A2355" s="4"/>
    </row>
    <row r="2356" spans="1:1" x14ac:dyDescent="0.25">
      <c r="A2356" s="4"/>
    </row>
    <row r="2357" spans="1:1" x14ac:dyDescent="0.25">
      <c r="A2357" s="4"/>
    </row>
    <row r="2358" spans="1:1" x14ac:dyDescent="0.25">
      <c r="A2358" s="4"/>
    </row>
    <row r="2359" spans="1:1" x14ac:dyDescent="0.25">
      <c r="A2359" s="4"/>
    </row>
    <row r="2360" spans="1:1" x14ac:dyDescent="0.25">
      <c r="A2360" s="4"/>
    </row>
    <row r="2361" spans="1:1" x14ac:dyDescent="0.25">
      <c r="A2361" s="4"/>
    </row>
    <row r="2362" spans="1:1" x14ac:dyDescent="0.25">
      <c r="A2362" s="4"/>
    </row>
    <row r="2363" spans="1:1" x14ac:dyDescent="0.25">
      <c r="A2363" s="4"/>
    </row>
    <row r="2364" spans="1:1" x14ac:dyDescent="0.25">
      <c r="A2364" s="4"/>
    </row>
    <row r="2365" spans="1:1" x14ac:dyDescent="0.25">
      <c r="A2365" s="4"/>
    </row>
    <row r="2366" spans="1:1" x14ac:dyDescent="0.25">
      <c r="A2366" s="4"/>
    </row>
    <row r="2367" spans="1:1" x14ac:dyDescent="0.25">
      <c r="A2367" s="4"/>
    </row>
    <row r="2368" spans="1:1" x14ac:dyDescent="0.25">
      <c r="A2368" s="4"/>
    </row>
    <row r="2369" spans="1:1" x14ac:dyDescent="0.25">
      <c r="A2369" s="4"/>
    </row>
    <row r="2370" spans="1:1" x14ac:dyDescent="0.25">
      <c r="A2370" s="4"/>
    </row>
    <row r="2371" spans="1:1" x14ac:dyDescent="0.25">
      <c r="A2371" s="4"/>
    </row>
    <row r="2372" spans="1:1" x14ac:dyDescent="0.25">
      <c r="A2372" s="4"/>
    </row>
    <row r="2373" spans="1:1" x14ac:dyDescent="0.25">
      <c r="A2373" s="4"/>
    </row>
    <row r="2374" spans="1:1" x14ac:dyDescent="0.25">
      <c r="A2374" s="4"/>
    </row>
    <row r="2375" spans="1:1" x14ac:dyDescent="0.25">
      <c r="A2375" s="4"/>
    </row>
    <row r="2376" spans="1:1" x14ac:dyDescent="0.25">
      <c r="A2376" s="4"/>
    </row>
    <row r="2377" spans="1:1" x14ac:dyDescent="0.25">
      <c r="A2377" s="4"/>
    </row>
    <row r="2378" spans="1:1" x14ac:dyDescent="0.25">
      <c r="A2378" s="4"/>
    </row>
    <row r="2379" spans="1:1" x14ac:dyDescent="0.25">
      <c r="A2379" s="4"/>
    </row>
    <row r="2380" spans="1:1" x14ac:dyDescent="0.25">
      <c r="A2380" s="4"/>
    </row>
    <row r="2381" spans="1:1" x14ac:dyDescent="0.25">
      <c r="A2381" s="4"/>
    </row>
    <row r="2382" spans="1:1" x14ac:dyDescent="0.25">
      <c r="A2382" s="4"/>
    </row>
    <row r="2383" spans="1:1" x14ac:dyDescent="0.25">
      <c r="A2383" s="4"/>
    </row>
    <row r="2384" spans="1:1" x14ac:dyDescent="0.25">
      <c r="A2384" s="4"/>
    </row>
    <row r="2385" spans="1:1" x14ac:dyDescent="0.25">
      <c r="A2385" s="4"/>
    </row>
    <row r="2386" spans="1:1" x14ac:dyDescent="0.25">
      <c r="A2386" s="4"/>
    </row>
    <row r="2387" spans="1:1" x14ac:dyDescent="0.25">
      <c r="A2387" s="4"/>
    </row>
    <row r="2388" spans="1:1" x14ac:dyDescent="0.25">
      <c r="A2388" s="4"/>
    </row>
    <row r="2389" spans="1:1" x14ac:dyDescent="0.25">
      <c r="A2389" s="4"/>
    </row>
    <row r="2390" spans="1:1" x14ac:dyDescent="0.25">
      <c r="A2390" s="4"/>
    </row>
    <row r="2391" spans="1:1" x14ac:dyDescent="0.25">
      <c r="A2391" s="4"/>
    </row>
    <row r="2392" spans="1:1" x14ac:dyDescent="0.25">
      <c r="A2392" s="4"/>
    </row>
    <row r="2393" spans="1:1" x14ac:dyDescent="0.25">
      <c r="A2393" s="4"/>
    </row>
    <row r="2394" spans="1:1" x14ac:dyDescent="0.25">
      <c r="A2394" s="4"/>
    </row>
    <row r="2395" spans="1:1" x14ac:dyDescent="0.25">
      <c r="A2395" s="4"/>
    </row>
    <row r="2396" spans="1:1" x14ac:dyDescent="0.25">
      <c r="A2396" s="4"/>
    </row>
    <row r="2397" spans="1:1" x14ac:dyDescent="0.25">
      <c r="A2397" s="4"/>
    </row>
    <row r="2398" spans="1:1" x14ac:dyDescent="0.25">
      <c r="A2398" s="4"/>
    </row>
    <row r="2399" spans="1:1" x14ac:dyDescent="0.25">
      <c r="A2399" s="4"/>
    </row>
    <row r="2400" spans="1:1" x14ac:dyDescent="0.25">
      <c r="A2400" s="4"/>
    </row>
    <row r="2401" spans="1:1" x14ac:dyDescent="0.25">
      <c r="A2401" s="6"/>
    </row>
    <row r="2402" spans="1:1" x14ac:dyDescent="0.25">
      <c r="A2402" s="4"/>
    </row>
    <row r="2403" spans="1:1" x14ac:dyDescent="0.25">
      <c r="A2403" s="4"/>
    </row>
    <row r="2404" spans="1:1" x14ac:dyDescent="0.25">
      <c r="A2404" s="4"/>
    </row>
    <row r="2405" spans="1:1" x14ac:dyDescent="0.25">
      <c r="A2405" s="4"/>
    </row>
    <row r="2406" spans="1:1" x14ac:dyDescent="0.25">
      <c r="A2406" s="4"/>
    </row>
    <row r="2407" spans="1:1" x14ac:dyDescent="0.25">
      <c r="A2407" s="4"/>
    </row>
    <row r="2408" spans="1:1" x14ac:dyDescent="0.25">
      <c r="A2408" s="4"/>
    </row>
    <row r="2409" spans="1:1" x14ac:dyDescent="0.25">
      <c r="A2409" s="4"/>
    </row>
    <row r="2410" spans="1:1" x14ac:dyDescent="0.25">
      <c r="A2410" s="4"/>
    </row>
    <row r="2411" spans="1:1" x14ac:dyDescent="0.25">
      <c r="A2411" s="4"/>
    </row>
    <row r="2412" spans="1:1" x14ac:dyDescent="0.25">
      <c r="A2412" s="4"/>
    </row>
    <row r="2413" spans="1:1" x14ac:dyDescent="0.25">
      <c r="A2413" s="4"/>
    </row>
    <row r="2414" spans="1:1" x14ac:dyDescent="0.25">
      <c r="A2414" s="4"/>
    </row>
    <row r="2415" spans="1:1" x14ac:dyDescent="0.25">
      <c r="A2415" s="4"/>
    </row>
    <row r="2416" spans="1:1" x14ac:dyDescent="0.25">
      <c r="A2416" s="4"/>
    </row>
    <row r="2417" spans="1:1" x14ac:dyDescent="0.25">
      <c r="A2417" s="4"/>
    </row>
    <row r="2418" spans="1:1" x14ac:dyDescent="0.25">
      <c r="A2418" s="4"/>
    </row>
    <row r="2419" spans="1:1" x14ac:dyDescent="0.25">
      <c r="A2419" s="4"/>
    </row>
    <row r="2420" spans="1:1" x14ac:dyDescent="0.25">
      <c r="A2420" s="4"/>
    </row>
    <row r="2421" spans="1:1" x14ac:dyDescent="0.25">
      <c r="A2421" s="4"/>
    </row>
    <row r="2422" spans="1:1" x14ac:dyDescent="0.25">
      <c r="A2422" s="4"/>
    </row>
    <row r="2423" spans="1:1" x14ac:dyDescent="0.25">
      <c r="A2423" s="4"/>
    </row>
    <row r="2424" spans="1:1" x14ac:dyDescent="0.25">
      <c r="A2424" s="4"/>
    </row>
    <row r="2425" spans="1:1" x14ac:dyDescent="0.25">
      <c r="A2425" s="4"/>
    </row>
    <row r="2426" spans="1:1" x14ac:dyDescent="0.25">
      <c r="A2426" s="4"/>
    </row>
    <row r="2427" spans="1:1" x14ac:dyDescent="0.25">
      <c r="A2427" s="4"/>
    </row>
    <row r="2428" spans="1:1" x14ac:dyDescent="0.25">
      <c r="A2428" s="4"/>
    </row>
    <row r="2429" spans="1:1" x14ac:dyDescent="0.25">
      <c r="A2429" s="4"/>
    </row>
    <row r="2430" spans="1:1" x14ac:dyDescent="0.25">
      <c r="A2430" s="4"/>
    </row>
    <row r="2431" spans="1:1" x14ac:dyDescent="0.25">
      <c r="A2431" s="4"/>
    </row>
    <row r="2432" spans="1:1" x14ac:dyDescent="0.25">
      <c r="A2432" s="4"/>
    </row>
    <row r="2433" spans="1:1" x14ac:dyDescent="0.25">
      <c r="A2433" s="4"/>
    </row>
    <row r="2434" spans="1:1" x14ac:dyDescent="0.25">
      <c r="A2434" s="4"/>
    </row>
    <row r="2435" spans="1:1" x14ac:dyDescent="0.25">
      <c r="A2435" s="4"/>
    </row>
    <row r="2436" spans="1:1" x14ac:dyDescent="0.25">
      <c r="A2436" s="4"/>
    </row>
    <row r="2437" spans="1:1" x14ac:dyDescent="0.25">
      <c r="A2437" s="4"/>
    </row>
    <row r="2438" spans="1:1" x14ac:dyDescent="0.25">
      <c r="A2438" s="4"/>
    </row>
    <row r="2439" spans="1:1" x14ac:dyDescent="0.25">
      <c r="A2439" s="4"/>
    </row>
    <row r="2440" spans="1:1" x14ac:dyDescent="0.25">
      <c r="A2440" s="4"/>
    </row>
    <row r="2441" spans="1:1" x14ac:dyDescent="0.25">
      <c r="A2441" s="4"/>
    </row>
    <row r="2442" spans="1:1" x14ac:dyDescent="0.25">
      <c r="A2442" s="4"/>
    </row>
    <row r="2443" spans="1:1" x14ac:dyDescent="0.25">
      <c r="A2443" s="4"/>
    </row>
    <row r="2444" spans="1:1" x14ac:dyDescent="0.25">
      <c r="A2444" s="4"/>
    </row>
    <row r="2445" spans="1:1" x14ac:dyDescent="0.25">
      <c r="A2445" s="4"/>
    </row>
    <row r="2446" spans="1:1" x14ac:dyDescent="0.25">
      <c r="A2446" s="4"/>
    </row>
    <row r="2447" spans="1:1" x14ac:dyDescent="0.25">
      <c r="A2447" s="4"/>
    </row>
    <row r="2448" spans="1:1" x14ac:dyDescent="0.25">
      <c r="A2448" s="4"/>
    </row>
    <row r="2449" spans="1:1" x14ac:dyDescent="0.25">
      <c r="A2449" s="4"/>
    </row>
    <row r="2450" spans="1:1" x14ac:dyDescent="0.25">
      <c r="A2450" s="4"/>
    </row>
    <row r="2451" spans="1:1" x14ac:dyDescent="0.25">
      <c r="A2451" s="4"/>
    </row>
    <row r="2452" spans="1:1" x14ac:dyDescent="0.25">
      <c r="A2452" s="4"/>
    </row>
    <row r="2453" spans="1:1" x14ac:dyDescent="0.25">
      <c r="A2453" s="4"/>
    </row>
    <row r="2454" spans="1:1" x14ac:dyDescent="0.25">
      <c r="A2454" s="4"/>
    </row>
    <row r="2455" spans="1:1" x14ac:dyDescent="0.25">
      <c r="A2455" s="4"/>
    </row>
    <row r="2456" spans="1:1" x14ac:dyDescent="0.25">
      <c r="A2456" s="4"/>
    </row>
    <row r="2457" spans="1:1" x14ac:dyDescent="0.25">
      <c r="A2457" s="4"/>
    </row>
    <row r="2458" spans="1:1" x14ac:dyDescent="0.25">
      <c r="A2458" s="4"/>
    </row>
    <row r="2459" spans="1:1" x14ac:dyDescent="0.25">
      <c r="A2459" s="4"/>
    </row>
    <row r="2460" spans="1:1" x14ac:dyDescent="0.25">
      <c r="A2460" s="4"/>
    </row>
    <row r="2461" spans="1:1" x14ac:dyDescent="0.25">
      <c r="A2461" s="4"/>
    </row>
    <row r="2462" spans="1:1" x14ac:dyDescent="0.25">
      <c r="A2462" s="4"/>
    </row>
    <row r="2463" spans="1:1" x14ac:dyDescent="0.25">
      <c r="A2463" s="4"/>
    </row>
    <row r="2464" spans="1:1" x14ac:dyDescent="0.25">
      <c r="A2464" s="4"/>
    </row>
  </sheetData>
  <autoFilter ref="A1:R2464"/>
  <conditionalFormatting sqref="A2465:A1048576 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="70" zoomScaleNormal="70" workbookViewId="0">
      <selection activeCell="J13" sqref="J13"/>
    </sheetView>
  </sheetViews>
  <sheetFormatPr defaultRowHeight="14.25" customHeight="1" x14ac:dyDescent="0.25"/>
  <cols>
    <col min="1" max="1" width="34.140625" style="10" customWidth="1"/>
    <col min="2" max="2" width="15.140625" style="10" customWidth="1"/>
    <col min="3" max="3" width="6.28515625" style="10" customWidth="1"/>
    <col min="4" max="4" width="5.140625" style="10" customWidth="1"/>
    <col min="5" max="5" width="6" style="12" customWidth="1"/>
    <col min="6" max="6" width="8.85546875" style="18" customWidth="1"/>
    <col min="7" max="7" width="10.42578125" style="12" customWidth="1"/>
    <col min="8" max="8" width="9.140625" style="2"/>
    <col min="9" max="9" width="34.140625" style="10" customWidth="1"/>
    <col min="10" max="10" width="9.140625" style="10"/>
    <col min="11" max="11" width="34.140625" style="10" customWidth="1"/>
    <col min="12" max="12" width="6" style="12" customWidth="1"/>
    <col min="13" max="13" width="34.140625" style="10" customWidth="1"/>
    <col min="15" max="15" width="34.140625" style="10" customWidth="1"/>
    <col min="16" max="16" width="10.42578125" style="12" customWidth="1"/>
    <col min="18" max="18" width="9.140625" style="7"/>
    <col min="19" max="19" width="9.140625" style="19"/>
    <col min="21" max="21" width="9.140625" style="7"/>
  </cols>
  <sheetData>
    <row r="1" spans="1:16" ht="14.25" customHeight="1" x14ac:dyDescent="0.25">
      <c r="A1" s="8"/>
      <c r="B1" s="8"/>
      <c r="C1" s="20" t="s">
        <v>70</v>
      </c>
      <c r="D1" s="20"/>
      <c r="E1" s="20"/>
      <c r="F1" s="13"/>
      <c r="G1" s="26"/>
      <c r="I1" s="8"/>
      <c r="K1" s="8"/>
      <c r="L1" s="7"/>
      <c r="M1" s="8"/>
      <c r="O1" s="8"/>
      <c r="P1" s="26"/>
    </row>
    <row r="2" spans="1:16" ht="14.25" customHeight="1" x14ac:dyDescent="0.25">
      <c r="A2" s="8"/>
      <c r="B2" s="8"/>
      <c r="C2" s="20"/>
      <c r="D2" s="20"/>
      <c r="E2" s="20"/>
      <c r="F2" s="14"/>
      <c r="G2" s="26"/>
      <c r="I2" s="8"/>
      <c r="K2" s="8"/>
      <c r="L2" s="7"/>
      <c r="M2" s="8"/>
      <c r="O2" s="8"/>
      <c r="P2" s="26"/>
    </row>
    <row r="3" spans="1:16" ht="14.25" customHeight="1" thickBot="1" x14ac:dyDescent="0.3">
      <c r="A3" s="8"/>
      <c r="B3" s="9" t="s">
        <v>26</v>
      </c>
      <c r="C3" s="20"/>
      <c r="D3" s="20"/>
      <c r="E3" s="20"/>
      <c r="F3" s="15"/>
      <c r="G3" s="27" t="s">
        <v>29</v>
      </c>
      <c r="I3" s="8"/>
      <c r="K3" s="8"/>
      <c r="L3" s="7"/>
      <c r="M3" s="8"/>
      <c r="O3" s="8"/>
      <c r="P3" s="27" t="s">
        <v>29</v>
      </c>
    </row>
    <row r="4" spans="1:16" ht="14.25" customHeight="1" thickBot="1" x14ac:dyDescent="0.3">
      <c r="A4" s="8"/>
      <c r="B4" s="8"/>
      <c r="C4" s="21" t="s">
        <v>27</v>
      </c>
      <c r="D4" s="22"/>
      <c r="E4" s="22"/>
      <c r="F4" s="16" t="s">
        <v>28</v>
      </c>
      <c r="G4" s="28"/>
      <c r="I4" s="8"/>
      <c r="K4" s="8"/>
      <c r="L4" s="7"/>
      <c r="M4" s="8"/>
      <c r="N4" t="s">
        <v>28</v>
      </c>
      <c r="O4" s="8"/>
      <c r="P4" s="28"/>
    </row>
    <row r="5" spans="1:16" ht="14.25" customHeight="1" x14ac:dyDescent="0.25">
      <c r="A5" s="8" t="s">
        <v>34</v>
      </c>
      <c r="B5" s="8" t="s">
        <v>52</v>
      </c>
      <c r="C5" s="11" t="s">
        <v>71</v>
      </c>
      <c r="D5" s="11" t="s">
        <v>31</v>
      </c>
      <c r="E5" s="25">
        <v>1552</v>
      </c>
      <c r="F5" s="17">
        <v>0.9</v>
      </c>
      <c r="G5" s="29">
        <v>15.12</v>
      </c>
      <c r="I5" s="8" t="s">
        <v>34</v>
      </c>
      <c r="J5" s="10" t="str">
        <f>C5&amp;D5</f>
        <v xml:space="preserve"> 8M16PK</v>
      </c>
      <c r="K5" s="8" t="s">
        <v>34</v>
      </c>
      <c r="L5" s="25">
        <v>1552</v>
      </c>
      <c r="M5" s="8" t="s">
        <v>34</v>
      </c>
      <c r="N5">
        <v>0.9</v>
      </c>
      <c r="O5" s="8" t="s">
        <v>34</v>
      </c>
      <c r="P5" s="29">
        <v>15.12</v>
      </c>
    </row>
    <row r="6" spans="1:16" ht="14.25" customHeight="1" x14ac:dyDescent="0.25">
      <c r="A6" s="8" t="s">
        <v>35</v>
      </c>
      <c r="B6" s="8" t="s">
        <v>53</v>
      </c>
      <c r="C6" s="11" t="s">
        <v>71</v>
      </c>
      <c r="D6" s="11" t="s">
        <v>31</v>
      </c>
      <c r="E6" s="25">
        <v>2248</v>
      </c>
      <c r="F6" s="17">
        <v>1.3</v>
      </c>
      <c r="G6" s="29">
        <v>22.085999999999999</v>
      </c>
      <c r="I6" s="8" t="s">
        <v>35</v>
      </c>
      <c r="J6" s="10" t="str">
        <f t="shared" ref="J6:J22" si="0">C6&amp;D6</f>
        <v xml:space="preserve"> 8M16PK</v>
      </c>
      <c r="K6" s="8" t="s">
        <v>35</v>
      </c>
      <c r="L6" s="25">
        <v>2248</v>
      </c>
      <c r="M6" s="8" t="s">
        <v>35</v>
      </c>
      <c r="N6">
        <v>1.3</v>
      </c>
      <c r="O6" s="8" t="s">
        <v>35</v>
      </c>
      <c r="P6" s="29">
        <v>22.085999999999999</v>
      </c>
    </row>
    <row r="7" spans="1:16" ht="14.25" customHeight="1" x14ac:dyDescent="0.25">
      <c r="A7" s="8" t="s">
        <v>36</v>
      </c>
      <c r="B7" s="8" t="s">
        <v>54</v>
      </c>
      <c r="C7" s="11" t="s">
        <v>71</v>
      </c>
      <c r="D7" s="11" t="s">
        <v>30</v>
      </c>
      <c r="E7" s="25">
        <v>1760</v>
      </c>
      <c r="F7" s="17">
        <v>0.75</v>
      </c>
      <c r="G7" s="29">
        <v>14.5</v>
      </c>
      <c r="I7" s="8" t="s">
        <v>36</v>
      </c>
      <c r="J7" s="10" t="str">
        <f t="shared" si="0"/>
        <v xml:space="preserve"> 8M12PK</v>
      </c>
      <c r="K7" s="8" t="s">
        <v>36</v>
      </c>
      <c r="L7" s="25">
        <v>1760</v>
      </c>
      <c r="M7" s="8" t="s">
        <v>36</v>
      </c>
      <c r="N7">
        <v>0.75</v>
      </c>
      <c r="O7" s="8" t="s">
        <v>36</v>
      </c>
      <c r="P7" s="29">
        <v>14.5</v>
      </c>
    </row>
    <row r="8" spans="1:16" ht="14.25" customHeight="1" x14ac:dyDescent="0.25">
      <c r="A8" s="8" t="s">
        <v>37</v>
      </c>
      <c r="B8" s="8" t="s">
        <v>55</v>
      </c>
      <c r="C8" s="11" t="s">
        <v>71</v>
      </c>
      <c r="D8" s="11" t="s">
        <v>32</v>
      </c>
      <c r="E8" s="25">
        <v>1760</v>
      </c>
      <c r="F8" s="17">
        <v>1.5</v>
      </c>
      <c r="G8" s="29">
        <v>29</v>
      </c>
      <c r="I8" s="8" t="s">
        <v>37</v>
      </c>
      <c r="J8" s="10" t="str">
        <f t="shared" si="0"/>
        <v xml:space="preserve"> 8M24PK</v>
      </c>
      <c r="K8" s="8" t="s">
        <v>37</v>
      </c>
      <c r="L8" s="25">
        <v>1760</v>
      </c>
      <c r="M8" s="8" t="s">
        <v>37</v>
      </c>
      <c r="N8">
        <v>1.5</v>
      </c>
      <c r="O8" s="8" t="s">
        <v>37</v>
      </c>
      <c r="P8" s="29">
        <v>29</v>
      </c>
    </row>
    <row r="9" spans="1:16" ht="14.25" customHeight="1" x14ac:dyDescent="0.25">
      <c r="A9" s="8" t="s">
        <v>38</v>
      </c>
      <c r="B9" s="8" t="s">
        <v>56</v>
      </c>
      <c r="C9" s="11" t="s">
        <v>71</v>
      </c>
      <c r="D9" s="11" t="s">
        <v>72</v>
      </c>
      <c r="E9" s="25">
        <v>1760</v>
      </c>
      <c r="F9" s="17">
        <v>1.75</v>
      </c>
      <c r="G9" s="29">
        <v>33.200000000000003</v>
      </c>
      <c r="I9" s="8" t="s">
        <v>38</v>
      </c>
      <c r="J9" s="10" t="str">
        <f t="shared" si="0"/>
        <v xml:space="preserve"> 8M28PK</v>
      </c>
      <c r="K9" s="8" t="s">
        <v>38</v>
      </c>
      <c r="L9" s="25">
        <v>1760</v>
      </c>
      <c r="M9" s="8" t="s">
        <v>38</v>
      </c>
      <c r="N9">
        <v>1.75</v>
      </c>
      <c r="O9" s="8" t="s">
        <v>38</v>
      </c>
      <c r="P9" s="29">
        <v>33.200000000000003</v>
      </c>
    </row>
    <row r="10" spans="1:16" ht="14.25" customHeight="1" x14ac:dyDescent="0.25">
      <c r="A10" s="8" t="s">
        <v>39</v>
      </c>
      <c r="B10" s="8" t="s">
        <v>57</v>
      </c>
      <c r="C10" s="11" t="s">
        <v>71</v>
      </c>
      <c r="D10" s="11" t="s">
        <v>33</v>
      </c>
      <c r="E10" s="25">
        <v>1760</v>
      </c>
      <c r="F10" s="17">
        <v>2.25</v>
      </c>
      <c r="G10" s="29">
        <v>38.573999999999998</v>
      </c>
      <c r="I10" s="8" t="s">
        <v>39</v>
      </c>
      <c r="J10" s="10" t="str">
        <f t="shared" si="0"/>
        <v xml:space="preserve"> 8M36PK</v>
      </c>
      <c r="K10" s="8" t="s">
        <v>39</v>
      </c>
      <c r="L10" s="25">
        <v>1760</v>
      </c>
      <c r="M10" s="8" t="s">
        <v>39</v>
      </c>
      <c r="N10">
        <v>2.25</v>
      </c>
      <c r="O10" s="8" t="s">
        <v>39</v>
      </c>
      <c r="P10" s="29">
        <v>38.573999999999998</v>
      </c>
    </row>
    <row r="11" spans="1:16" ht="14.25" customHeight="1" x14ac:dyDescent="0.25">
      <c r="A11" s="8" t="s">
        <v>40</v>
      </c>
      <c r="B11" s="8" t="s">
        <v>58</v>
      </c>
      <c r="C11" s="11" t="s">
        <v>71</v>
      </c>
      <c r="D11" s="11" t="s">
        <v>33</v>
      </c>
      <c r="E11" s="25">
        <v>2800</v>
      </c>
      <c r="F11" s="17">
        <v>3.6</v>
      </c>
      <c r="G11" s="29">
        <v>61.366999999999997</v>
      </c>
      <c r="I11" s="8" t="s">
        <v>40</v>
      </c>
      <c r="J11" s="10" t="str">
        <f t="shared" si="0"/>
        <v xml:space="preserve"> 8M36PK</v>
      </c>
      <c r="K11" s="8" t="s">
        <v>40</v>
      </c>
      <c r="L11" s="25">
        <v>2800</v>
      </c>
      <c r="M11" s="8" t="s">
        <v>40</v>
      </c>
      <c r="N11">
        <v>3.6</v>
      </c>
      <c r="O11" s="8" t="s">
        <v>40</v>
      </c>
      <c r="P11" s="29">
        <v>61.366999999999997</v>
      </c>
    </row>
    <row r="12" spans="1:16" ht="14.25" customHeight="1" x14ac:dyDescent="0.25">
      <c r="A12" s="8" t="s">
        <v>41</v>
      </c>
      <c r="B12" s="8" t="s">
        <v>59</v>
      </c>
      <c r="C12" s="11" t="s">
        <v>73</v>
      </c>
      <c r="D12" s="11" t="s">
        <v>33</v>
      </c>
      <c r="E12" s="25">
        <v>1764</v>
      </c>
      <c r="F12" s="17">
        <v>3</v>
      </c>
      <c r="G12" s="29">
        <v>58.265999999999998</v>
      </c>
      <c r="I12" s="8" t="s">
        <v>41</v>
      </c>
      <c r="J12" s="10" t="str">
        <f t="shared" si="0"/>
        <v>14M36PK</v>
      </c>
      <c r="K12" s="8" t="s">
        <v>41</v>
      </c>
      <c r="L12" s="25">
        <v>1764</v>
      </c>
      <c r="M12" s="8" t="s">
        <v>41</v>
      </c>
      <c r="N12">
        <v>3</v>
      </c>
      <c r="O12" s="8" t="s">
        <v>41</v>
      </c>
      <c r="P12" s="29">
        <v>58.265999999999998</v>
      </c>
    </row>
    <row r="13" spans="1:16" ht="14.25" customHeight="1" x14ac:dyDescent="0.25">
      <c r="A13" s="8" t="s">
        <v>42</v>
      </c>
      <c r="B13" s="8" t="s">
        <v>60</v>
      </c>
      <c r="C13" s="11" t="s">
        <v>71</v>
      </c>
      <c r="D13" s="11" t="s">
        <v>74</v>
      </c>
      <c r="E13" s="25">
        <v>1552</v>
      </c>
      <c r="F13" s="17">
        <v>6.7</v>
      </c>
      <c r="G13" s="29">
        <v>113.4</v>
      </c>
      <c r="I13" s="8" t="s">
        <v>42</v>
      </c>
      <c r="J13" s="10" t="str">
        <f t="shared" si="0"/>
        <v xml:space="preserve"> 8M120PK</v>
      </c>
      <c r="K13" s="8" t="s">
        <v>42</v>
      </c>
      <c r="L13" s="25">
        <v>1552</v>
      </c>
      <c r="M13" s="8" t="s">
        <v>42</v>
      </c>
      <c r="N13">
        <v>6.7</v>
      </c>
      <c r="O13" s="8" t="s">
        <v>42</v>
      </c>
      <c r="P13" s="29">
        <v>113.4</v>
      </c>
    </row>
    <row r="14" spans="1:16" ht="14.25" customHeight="1" x14ac:dyDescent="0.25">
      <c r="A14" s="8" t="s">
        <v>43</v>
      </c>
      <c r="B14" s="8" t="s">
        <v>61</v>
      </c>
      <c r="C14" s="11" t="s">
        <v>71</v>
      </c>
      <c r="D14" s="11" t="s">
        <v>74</v>
      </c>
      <c r="E14" s="25">
        <v>1760</v>
      </c>
      <c r="F14" s="17">
        <v>7.6</v>
      </c>
      <c r="G14" s="29">
        <v>128.583</v>
      </c>
      <c r="I14" s="8" t="s">
        <v>43</v>
      </c>
      <c r="J14" s="10" t="str">
        <f t="shared" si="0"/>
        <v xml:space="preserve"> 8M120PK</v>
      </c>
      <c r="K14" s="8" t="s">
        <v>43</v>
      </c>
      <c r="L14" s="25">
        <v>1760</v>
      </c>
      <c r="M14" s="8" t="s">
        <v>43</v>
      </c>
      <c r="N14">
        <v>7.6</v>
      </c>
      <c r="O14" s="8" t="s">
        <v>43</v>
      </c>
      <c r="P14" s="29">
        <v>128.583</v>
      </c>
    </row>
    <row r="15" spans="1:16" ht="14.25" customHeight="1" x14ac:dyDescent="0.25">
      <c r="A15" s="8" t="s">
        <v>44</v>
      </c>
      <c r="B15" s="8" t="s">
        <v>62</v>
      </c>
      <c r="C15" s="11" t="s">
        <v>71</v>
      </c>
      <c r="D15" s="11" t="s">
        <v>74</v>
      </c>
      <c r="E15" s="25">
        <v>2400</v>
      </c>
      <c r="F15" s="17">
        <v>10.5</v>
      </c>
      <c r="G15" s="29">
        <v>175.36</v>
      </c>
      <c r="I15" s="8" t="s">
        <v>44</v>
      </c>
      <c r="J15" s="10" t="str">
        <f t="shared" si="0"/>
        <v xml:space="preserve"> 8M120PK</v>
      </c>
      <c r="K15" s="8" t="s">
        <v>44</v>
      </c>
      <c r="L15" s="25">
        <v>2400</v>
      </c>
      <c r="M15" s="8" t="s">
        <v>44</v>
      </c>
      <c r="N15">
        <v>10.5</v>
      </c>
      <c r="O15" s="8" t="s">
        <v>44</v>
      </c>
      <c r="P15" s="29">
        <v>175.36</v>
      </c>
    </row>
    <row r="16" spans="1:16" ht="14.25" customHeight="1" x14ac:dyDescent="0.25">
      <c r="A16" s="8" t="s">
        <v>45</v>
      </c>
      <c r="B16" s="8" t="s">
        <v>63</v>
      </c>
      <c r="C16" s="11" t="s">
        <v>71</v>
      </c>
      <c r="D16" s="11" t="s">
        <v>74</v>
      </c>
      <c r="E16" s="25">
        <v>2800</v>
      </c>
      <c r="F16" s="17">
        <v>12.5</v>
      </c>
      <c r="G16" s="29">
        <v>204.6</v>
      </c>
      <c r="I16" s="8" t="s">
        <v>45</v>
      </c>
      <c r="J16" s="10" t="str">
        <f t="shared" si="0"/>
        <v xml:space="preserve"> 8M120PK</v>
      </c>
      <c r="K16" s="8" t="s">
        <v>45</v>
      </c>
      <c r="L16" s="25">
        <v>2800</v>
      </c>
      <c r="M16" s="8" t="s">
        <v>45</v>
      </c>
      <c r="N16">
        <v>12.5</v>
      </c>
      <c r="O16" s="8" t="s">
        <v>45</v>
      </c>
      <c r="P16" s="29">
        <v>204.6</v>
      </c>
    </row>
    <row r="17" spans="1:16" ht="14.25" customHeight="1" x14ac:dyDescent="0.25">
      <c r="A17" s="23" t="s">
        <v>46</v>
      </c>
      <c r="B17" s="24" t="s">
        <v>64</v>
      </c>
      <c r="C17" s="11" t="s">
        <v>75</v>
      </c>
      <c r="D17" s="11">
        <v>10</v>
      </c>
      <c r="E17" s="25">
        <v>100</v>
      </c>
      <c r="F17" s="17">
        <v>4.5</v>
      </c>
      <c r="G17" s="30">
        <v>0.62</v>
      </c>
      <c r="I17" s="23" t="s">
        <v>46</v>
      </c>
      <c r="J17" s="10" t="str">
        <f t="shared" si="0"/>
        <v>S5M10</v>
      </c>
      <c r="K17" s="23" t="s">
        <v>46</v>
      </c>
      <c r="L17" s="25">
        <v>100</v>
      </c>
      <c r="M17" s="23" t="s">
        <v>46</v>
      </c>
      <c r="N17">
        <v>4.5</v>
      </c>
      <c r="O17" s="23" t="s">
        <v>46</v>
      </c>
      <c r="P17" s="30">
        <v>0.62</v>
      </c>
    </row>
    <row r="18" spans="1:16" ht="14.25" customHeight="1" x14ac:dyDescent="0.25">
      <c r="A18" s="23" t="s">
        <v>47</v>
      </c>
      <c r="B18" s="10" t="s">
        <v>65</v>
      </c>
      <c r="C18" s="11" t="s">
        <v>76</v>
      </c>
      <c r="D18" s="11">
        <v>10</v>
      </c>
      <c r="E18" s="25">
        <v>125</v>
      </c>
      <c r="F18" s="17">
        <v>8.0500000000000007</v>
      </c>
      <c r="G18" s="30">
        <v>0.62</v>
      </c>
      <c r="I18" s="23" t="s">
        <v>47</v>
      </c>
      <c r="J18" s="10" t="str">
        <f t="shared" si="0"/>
        <v>S8M10</v>
      </c>
      <c r="K18" s="23" t="s">
        <v>47</v>
      </c>
      <c r="L18" s="25">
        <v>125</v>
      </c>
      <c r="M18" s="23" t="s">
        <v>47</v>
      </c>
      <c r="N18">
        <v>8.0500000000000007</v>
      </c>
      <c r="O18" s="23" t="s">
        <v>47</v>
      </c>
      <c r="P18" s="30">
        <v>0.62</v>
      </c>
    </row>
    <row r="19" spans="1:16" ht="14.25" customHeight="1" x14ac:dyDescent="0.25">
      <c r="A19" s="23" t="s">
        <v>48</v>
      </c>
      <c r="B19" s="10" t="s">
        <v>66</v>
      </c>
      <c r="C19" s="11" t="s">
        <v>75</v>
      </c>
      <c r="D19" s="11">
        <v>12</v>
      </c>
      <c r="E19" s="25">
        <v>125</v>
      </c>
      <c r="F19" s="17">
        <v>6.69</v>
      </c>
      <c r="G19" s="30">
        <v>0.65700000000000003</v>
      </c>
      <c r="I19" s="23" t="s">
        <v>48</v>
      </c>
      <c r="J19" s="10" t="str">
        <f t="shared" si="0"/>
        <v>S5M12</v>
      </c>
      <c r="K19" s="23" t="s">
        <v>48</v>
      </c>
      <c r="L19" s="25">
        <v>125</v>
      </c>
      <c r="M19" s="23" t="s">
        <v>48</v>
      </c>
      <c r="N19">
        <v>6.69</v>
      </c>
      <c r="O19" s="23" t="s">
        <v>48</v>
      </c>
      <c r="P19" s="30">
        <v>0.65700000000000003</v>
      </c>
    </row>
    <row r="20" spans="1:16" ht="14.25" customHeight="1" x14ac:dyDescent="0.25">
      <c r="A20" s="23" t="s">
        <v>49</v>
      </c>
      <c r="B20" s="10" t="s">
        <v>67</v>
      </c>
      <c r="C20" s="11" t="s">
        <v>76</v>
      </c>
      <c r="D20" s="11">
        <v>12</v>
      </c>
      <c r="E20" s="25">
        <v>100</v>
      </c>
      <c r="F20" s="17">
        <v>7.68</v>
      </c>
      <c r="G20" s="30">
        <v>0.65700000000000003</v>
      </c>
      <c r="I20" s="23" t="s">
        <v>49</v>
      </c>
      <c r="J20" s="10" t="str">
        <f t="shared" si="0"/>
        <v>S8M12</v>
      </c>
      <c r="K20" s="23" t="s">
        <v>49</v>
      </c>
      <c r="L20" s="25">
        <v>100</v>
      </c>
      <c r="M20" s="23" t="s">
        <v>49</v>
      </c>
      <c r="N20">
        <v>7.68</v>
      </c>
      <c r="O20" s="23" t="s">
        <v>49</v>
      </c>
      <c r="P20" s="30">
        <v>0.65700000000000003</v>
      </c>
    </row>
    <row r="21" spans="1:16" ht="14.25" customHeight="1" x14ac:dyDescent="0.25">
      <c r="A21" s="23" t="s">
        <v>50</v>
      </c>
      <c r="B21" s="10" t="s">
        <v>68</v>
      </c>
      <c r="C21" s="11" t="s">
        <v>75</v>
      </c>
      <c r="D21" s="11">
        <v>15</v>
      </c>
      <c r="E21" s="25">
        <v>100</v>
      </c>
      <c r="F21" s="17">
        <v>6.5</v>
      </c>
      <c r="G21" s="30">
        <v>0.92</v>
      </c>
      <c r="I21" s="23" t="s">
        <v>50</v>
      </c>
      <c r="J21" s="10" t="str">
        <f t="shared" si="0"/>
        <v>S5M15</v>
      </c>
      <c r="K21" s="23" t="s">
        <v>50</v>
      </c>
      <c r="L21" s="25">
        <v>100</v>
      </c>
      <c r="M21" s="23" t="s">
        <v>50</v>
      </c>
      <c r="N21">
        <v>6.5</v>
      </c>
      <c r="O21" s="23" t="s">
        <v>50</v>
      </c>
      <c r="P21" s="30">
        <v>0.92</v>
      </c>
    </row>
    <row r="22" spans="1:16" ht="14.25" customHeight="1" x14ac:dyDescent="0.25">
      <c r="A22" s="23" t="s">
        <v>51</v>
      </c>
      <c r="B22" s="10" t="s">
        <v>69</v>
      </c>
      <c r="C22" s="11" t="s">
        <v>76</v>
      </c>
      <c r="D22" s="11">
        <v>15</v>
      </c>
      <c r="E22" s="25">
        <v>100</v>
      </c>
      <c r="F22" s="17">
        <v>9.15</v>
      </c>
      <c r="G22" s="30">
        <v>0.92</v>
      </c>
      <c r="I22" s="23" t="s">
        <v>51</v>
      </c>
      <c r="J22" s="10" t="str">
        <f t="shared" si="0"/>
        <v>S8M15</v>
      </c>
      <c r="K22" s="23" t="s">
        <v>51</v>
      </c>
      <c r="L22" s="25">
        <v>100</v>
      </c>
      <c r="M22" s="23" t="s">
        <v>51</v>
      </c>
      <c r="N22">
        <v>9.15</v>
      </c>
      <c r="O22" s="23" t="s">
        <v>51</v>
      </c>
      <c r="P22" s="30">
        <v>0.92</v>
      </c>
    </row>
  </sheetData>
  <mergeCells count="2">
    <mergeCell ref="C1:E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 TICARET</dc:creator>
  <cp:lastModifiedBy>DIS TICARET</cp:lastModifiedBy>
  <dcterms:created xsi:type="dcterms:W3CDTF">2026-01-16T09:28:56Z</dcterms:created>
  <dcterms:modified xsi:type="dcterms:W3CDTF">2026-01-16T12:25:17Z</dcterms:modified>
</cp:coreProperties>
</file>