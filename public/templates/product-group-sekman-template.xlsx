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0" yWindow="0" windowWidth="28800" windowHeight="12045"/>
  </bookViews>
  <sheets>
    <sheet name="Template" sheetId="1" r:id="rId1"/>
    <sheet name="Sayfa2" sheetId="4" r:id="rId2"/>
  </sheets>
  <calcPr calcId="152511"/>
</workbook>
</file>

<file path=xl/calcChain.xml><?xml version="1.0" encoding="utf-8"?>
<calcChain xmlns="http://schemas.openxmlformats.org/spreadsheetml/2006/main">
  <c r="D242" i="1" l="1"/>
  <c r="H223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H13" i="1"/>
  <c r="H14" i="1"/>
  <c r="H15" i="1"/>
  <c r="H16" i="1"/>
  <c r="H37" i="1"/>
  <c r="H38" i="1"/>
  <c r="H46" i="1"/>
  <c r="H47" i="1"/>
  <c r="H48" i="1"/>
  <c r="H49" i="1"/>
  <c r="H50" i="1"/>
  <c r="H61" i="1"/>
  <c r="D13" i="1"/>
  <c r="D14" i="1"/>
  <c r="D15" i="1"/>
  <c r="D16" i="1"/>
  <c r="D17" i="1"/>
  <c r="D18" i="1"/>
  <c r="D19" i="1"/>
  <c r="D37" i="1"/>
  <c r="D38" i="1"/>
  <c r="D39" i="1"/>
  <c r="D40" i="1"/>
  <c r="D41" i="1"/>
  <c r="D42" i="1"/>
  <c r="D43" i="1"/>
  <c r="D46" i="1"/>
  <c r="D47" i="1"/>
  <c r="D61" i="1"/>
  <c r="D62" i="1"/>
  <c r="D63" i="1"/>
  <c r="D64" i="1"/>
  <c r="D65" i="1"/>
  <c r="A2" i="1"/>
  <c r="H2" i="1" s="1"/>
  <c r="A3" i="1"/>
  <c r="H3" i="1" s="1"/>
  <c r="A4" i="1"/>
  <c r="H4" i="1" s="1"/>
  <c r="A5" i="1"/>
  <c r="H5" i="1" s="1"/>
  <c r="A6" i="1"/>
  <c r="H6" i="1" s="1"/>
  <c r="A7" i="1"/>
  <c r="D7" i="1" s="1"/>
  <c r="A8" i="1"/>
  <c r="D8" i="1" s="1"/>
  <c r="A9" i="1"/>
  <c r="D9" i="1" s="1"/>
  <c r="A10" i="1"/>
  <c r="D10" i="1" s="1"/>
  <c r="A11" i="1"/>
  <c r="D11" i="1" s="1"/>
  <c r="A12" i="1"/>
  <c r="D12" i="1" s="1"/>
  <c r="A13" i="1"/>
  <c r="A14" i="1"/>
  <c r="A15" i="1"/>
  <c r="A16" i="1"/>
  <c r="A17" i="1"/>
  <c r="H17" i="1" s="1"/>
  <c r="A18" i="1"/>
  <c r="H18" i="1" s="1"/>
  <c r="A19" i="1"/>
  <c r="H19" i="1" s="1"/>
  <c r="A20" i="1"/>
  <c r="H20" i="1" s="1"/>
  <c r="A21" i="1"/>
  <c r="H21" i="1" s="1"/>
  <c r="A22" i="1"/>
  <c r="H22" i="1" s="1"/>
  <c r="A23" i="1"/>
  <c r="H23" i="1" s="1"/>
  <c r="A24" i="1"/>
  <c r="H24" i="1" s="1"/>
  <c r="A25" i="1"/>
  <c r="H25" i="1" s="1"/>
  <c r="A26" i="1"/>
  <c r="H26" i="1" s="1"/>
  <c r="A27" i="1"/>
  <c r="H27" i="1" s="1"/>
  <c r="A28" i="1"/>
  <c r="H28" i="1" s="1"/>
  <c r="A29" i="1"/>
  <c r="H29" i="1" s="1"/>
  <c r="A30" i="1"/>
  <c r="H30" i="1" s="1"/>
  <c r="A31" i="1"/>
  <c r="D31" i="1" s="1"/>
  <c r="A32" i="1"/>
  <c r="D32" i="1" s="1"/>
  <c r="A33" i="1"/>
  <c r="D33" i="1" s="1"/>
  <c r="A34" i="1"/>
  <c r="D34" i="1" s="1"/>
  <c r="A35" i="1"/>
  <c r="H35" i="1" s="1"/>
  <c r="A36" i="1"/>
  <c r="H36" i="1" s="1"/>
  <c r="A37" i="1"/>
  <c r="A38" i="1"/>
  <c r="A39" i="1"/>
  <c r="H39" i="1" s="1"/>
  <c r="A40" i="1"/>
  <c r="H40" i="1" s="1"/>
  <c r="A41" i="1"/>
  <c r="H41" i="1" s="1"/>
  <c r="A42" i="1"/>
  <c r="H42" i="1" s="1"/>
  <c r="A43" i="1"/>
  <c r="H43" i="1" s="1"/>
  <c r="A44" i="1"/>
  <c r="H44" i="1" s="1"/>
  <c r="A45" i="1"/>
  <c r="H45" i="1" s="1"/>
  <c r="A46" i="1"/>
  <c r="A47" i="1"/>
  <c r="A48" i="1"/>
  <c r="D48" i="1" s="1"/>
  <c r="A49" i="1"/>
  <c r="D49" i="1" s="1"/>
  <c r="A50" i="1"/>
  <c r="D50" i="1" s="1"/>
  <c r="A51" i="1"/>
  <c r="H51" i="1" s="1"/>
  <c r="A52" i="1"/>
  <c r="H52" i="1" s="1"/>
  <c r="A53" i="1"/>
  <c r="H53" i="1" s="1"/>
  <c r="A54" i="1"/>
  <c r="H54" i="1" s="1"/>
  <c r="A55" i="1"/>
  <c r="D55" i="1" s="1"/>
  <c r="A56" i="1"/>
  <c r="D56" i="1" s="1"/>
  <c r="A57" i="1"/>
  <c r="D57" i="1" s="1"/>
  <c r="A58" i="1"/>
  <c r="D58" i="1" s="1"/>
  <c r="A59" i="1"/>
  <c r="D59" i="1" s="1"/>
  <c r="A60" i="1"/>
  <c r="D60" i="1" s="1"/>
  <c r="A61" i="1"/>
  <c r="A62" i="1"/>
  <c r="H62" i="1" s="1"/>
  <c r="A63" i="1"/>
  <c r="H63" i="1" s="1"/>
  <c r="A64" i="1"/>
  <c r="H64" i="1" s="1"/>
  <c r="A65" i="1"/>
  <c r="H65" i="1" s="1"/>
  <c r="A66" i="1"/>
  <c r="H66" i="1" s="1"/>
  <c r="A67" i="1"/>
  <c r="H67" i="1" s="1"/>
  <c r="A68" i="1"/>
  <c r="H68" i="1" s="1"/>
  <c r="A69" i="1"/>
  <c r="H69" i="1" s="1"/>
  <c r="D261" i="1" l="1"/>
  <c r="H225" i="1"/>
  <c r="H209" i="1"/>
  <c r="H233" i="1"/>
  <c r="H257" i="1"/>
  <c r="H216" i="1"/>
  <c r="H264" i="1"/>
  <c r="H217" i="1"/>
  <c r="H265" i="1"/>
  <c r="H194" i="1"/>
  <c r="H242" i="1"/>
  <c r="H195" i="1"/>
  <c r="H243" i="1"/>
  <c r="H220" i="1"/>
  <c r="H215" i="1"/>
  <c r="H239" i="1"/>
  <c r="H263" i="1"/>
  <c r="H192" i="1"/>
  <c r="H240" i="1"/>
  <c r="H193" i="1"/>
  <c r="H241" i="1"/>
  <c r="H218" i="1"/>
  <c r="H266" i="1"/>
  <c r="H219" i="1"/>
  <c r="H267" i="1"/>
  <c r="H196" i="1"/>
  <c r="H244" i="1"/>
  <c r="D241" i="1"/>
  <c r="D237" i="1"/>
  <c r="D238" i="1"/>
  <c r="H203" i="1"/>
  <c r="H202" i="1"/>
  <c r="D218" i="1"/>
  <c r="D216" i="1"/>
  <c r="H197" i="1"/>
  <c r="H268" i="1"/>
  <c r="D195" i="1"/>
  <c r="H251" i="1"/>
  <c r="H250" i="1"/>
  <c r="H249" i="1"/>
  <c r="H207" i="1"/>
  <c r="D196" i="1"/>
  <c r="H246" i="1"/>
  <c r="H245" i="1"/>
  <c r="D200" i="1"/>
  <c r="D224" i="1"/>
  <c r="D248" i="1"/>
  <c r="D201" i="1"/>
  <c r="D225" i="1"/>
  <c r="D249" i="1"/>
  <c r="D256" i="1"/>
  <c r="D233" i="1"/>
  <c r="D210" i="1"/>
  <c r="D258" i="1"/>
  <c r="D235" i="1"/>
  <c r="D206" i="1"/>
  <c r="D230" i="1"/>
  <c r="D254" i="1"/>
  <c r="D207" i="1"/>
  <c r="D231" i="1"/>
  <c r="D255" i="1"/>
  <c r="D208" i="1"/>
  <c r="D232" i="1"/>
  <c r="D209" i="1"/>
  <c r="D257" i="1"/>
  <c r="D234" i="1"/>
  <c r="D211" i="1"/>
  <c r="D259" i="1"/>
  <c r="D240" i="1"/>
  <c r="D239" i="1"/>
  <c r="H222" i="1"/>
  <c r="H221" i="1"/>
  <c r="D236" i="1"/>
  <c r="D219" i="1"/>
  <c r="H201" i="1"/>
  <c r="H200" i="1"/>
  <c r="D217" i="1"/>
  <c r="D215" i="1"/>
  <c r="H204" i="1"/>
  <c r="D194" i="1"/>
  <c r="D193" i="1"/>
  <c r="D192" i="1"/>
  <c r="D263" i="1"/>
  <c r="H247" i="1"/>
  <c r="D260" i="1"/>
  <c r="H224" i="1"/>
  <c r="H199" i="1"/>
  <c r="H198" i="1"/>
  <c r="D214" i="1"/>
  <c r="D213" i="1"/>
  <c r="D212" i="1"/>
  <c r="D267" i="1"/>
  <c r="D266" i="1"/>
  <c r="D265" i="1"/>
  <c r="D264" i="1"/>
  <c r="H248" i="1"/>
  <c r="D262" i="1"/>
  <c r="H227" i="1"/>
  <c r="D243" i="1"/>
  <c r="H226" i="1"/>
  <c r="H262" i="1"/>
  <c r="H238" i="1"/>
  <c r="H214" i="1"/>
  <c r="D253" i="1"/>
  <c r="D229" i="1"/>
  <c r="D205" i="1"/>
  <c r="H261" i="1"/>
  <c r="H237" i="1"/>
  <c r="H213" i="1"/>
  <c r="D252" i="1"/>
  <c r="D228" i="1"/>
  <c r="D204" i="1"/>
  <c r="H260" i="1"/>
  <c r="H236" i="1"/>
  <c r="H212" i="1"/>
  <c r="D251" i="1"/>
  <c r="D227" i="1"/>
  <c r="D203" i="1"/>
  <c r="H259" i="1"/>
  <c r="H235" i="1"/>
  <c r="H211" i="1"/>
  <c r="D250" i="1"/>
  <c r="D226" i="1"/>
  <c r="D202" i="1"/>
  <c r="H258" i="1"/>
  <c r="H234" i="1"/>
  <c r="H210" i="1"/>
  <c r="H256" i="1"/>
  <c r="H232" i="1"/>
  <c r="H208" i="1"/>
  <c r="D247" i="1"/>
  <c r="D223" i="1"/>
  <c r="D199" i="1"/>
  <c r="H255" i="1"/>
  <c r="H231" i="1"/>
  <c r="D246" i="1"/>
  <c r="D222" i="1"/>
  <c r="D198" i="1"/>
  <c r="H254" i="1"/>
  <c r="H230" i="1"/>
  <c r="H206" i="1"/>
  <c r="D245" i="1"/>
  <c r="D221" i="1"/>
  <c r="D197" i="1"/>
  <c r="H253" i="1"/>
  <c r="H229" i="1"/>
  <c r="H205" i="1"/>
  <c r="D268" i="1"/>
  <c r="D244" i="1"/>
  <c r="D220" i="1"/>
  <c r="H252" i="1"/>
  <c r="H228" i="1"/>
  <c r="H60" i="1"/>
  <c r="D45" i="1"/>
  <c r="H59" i="1"/>
  <c r="D44" i="1"/>
  <c r="H12" i="1"/>
  <c r="H11" i="1"/>
  <c r="D69" i="1"/>
  <c r="D36" i="1"/>
  <c r="D68" i="1"/>
  <c r="D35" i="1"/>
  <c r="D67" i="1"/>
  <c r="D21" i="1"/>
  <c r="D66" i="1"/>
  <c r="D20" i="1"/>
  <c r="D6" i="1"/>
  <c r="D4" i="1"/>
  <c r="D28" i="1"/>
  <c r="D27" i="1"/>
  <c r="D54" i="1"/>
  <c r="D26" i="1"/>
  <c r="D53" i="1"/>
  <c r="D25" i="1"/>
  <c r="D52" i="1"/>
  <c r="D24" i="1"/>
  <c r="D51" i="1"/>
  <c r="D23" i="1"/>
  <c r="D5" i="1"/>
  <c r="D3" i="1"/>
  <c r="D30" i="1"/>
  <c r="D29" i="1"/>
  <c r="D22" i="1"/>
  <c r="H58" i="1"/>
  <c r="H34" i="1"/>
  <c r="H10" i="1"/>
  <c r="H57" i="1"/>
  <c r="H33" i="1"/>
  <c r="H9" i="1"/>
  <c r="H56" i="1"/>
  <c r="H32" i="1"/>
  <c r="H8" i="1"/>
  <c r="H55" i="1"/>
  <c r="H31" i="1"/>
  <c r="H7" i="1"/>
  <c r="D2" i="1"/>
</calcChain>
</file>

<file path=xl/sharedStrings.xml><?xml version="1.0" encoding="utf-8"?>
<sst xmlns="http://schemas.openxmlformats.org/spreadsheetml/2006/main" count="2273" uniqueCount="665">
  <si>
    <t>code</t>
  </si>
  <si>
    <t>name</t>
  </si>
  <si>
    <t>category</t>
  </si>
  <si>
    <t>unit_price</t>
  </si>
  <si>
    <t>description</t>
  </si>
  <si>
    <t>notes</t>
  </si>
  <si>
    <t>attr_name_1</t>
  </si>
  <si>
    <t>attr_value_1</t>
  </si>
  <si>
    <t>attr_unit_1</t>
  </si>
  <si>
    <t>attr_type_1</t>
  </si>
  <si>
    <t>attr_name_2</t>
  </si>
  <si>
    <t>attr_value_2</t>
  </si>
  <si>
    <t>attr_unit_2</t>
  </si>
  <si>
    <t>attr_type_2</t>
  </si>
  <si>
    <t>attr_name_3</t>
  </si>
  <si>
    <t>attr_value_3</t>
  </si>
  <si>
    <t>attr_unit_3</t>
  </si>
  <si>
    <t>attr_type_3</t>
  </si>
  <si>
    <t>attr_name_4</t>
  </si>
  <si>
    <t>attr_value_4</t>
  </si>
  <si>
    <t>attr_unit_4</t>
  </si>
  <si>
    <t>attr_type_4</t>
  </si>
  <si>
    <t>Ağırlık</t>
  </si>
  <si>
    <t>KG</t>
  </si>
  <si>
    <t>number</t>
  </si>
  <si>
    <t>R H 204 OBR</t>
  </si>
  <si>
    <t>R H 205 OBR</t>
  </si>
  <si>
    <t>R H 206 OBR</t>
  </si>
  <si>
    <t>R H 207 OBR</t>
  </si>
  <si>
    <t>R H 208 OBR</t>
  </si>
  <si>
    <t>R H 209 OBR</t>
  </si>
  <si>
    <t>R H 210 OBR</t>
  </si>
  <si>
    <t>R H 211 OBR</t>
  </si>
  <si>
    <t>R H 212 OBR</t>
  </si>
  <si>
    <t>R H 213 OBR</t>
  </si>
  <si>
    <t>R H 214 OBR</t>
  </si>
  <si>
    <t>R H 215 OBR</t>
  </si>
  <si>
    <t>R H 216 OBR</t>
  </si>
  <si>
    <t>R H 217 OBR</t>
  </si>
  <si>
    <t>R H 218 OBR</t>
  </si>
  <si>
    <t>R H 219 OBR</t>
  </si>
  <si>
    <t>R H 220 OBR</t>
  </si>
  <si>
    <t>R H 222 OBR</t>
  </si>
  <si>
    <t>R H 304 OBR</t>
  </si>
  <si>
    <t>R H 305 OBR</t>
  </si>
  <si>
    <t>R H 306 OBR</t>
  </si>
  <si>
    <t>R H 307 OBR</t>
  </si>
  <si>
    <t>R H 308 OBR</t>
  </si>
  <si>
    <t>R H 309 OBR</t>
  </si>
  <si>
    <t>R H 310 OBR</t>
  </si>
  <si>
    <t>R H 311 OBR</t>
  </si>
  <si>
    <t>R H 312 OBR</t>
  </si>
  <si>
    <t>R H 313 OBR</t>
  </si>
  <si>
    <t>R H 314 OBR</t>
  </si>
  <si>
    <t>R H 315 OBR</t>
  </si>
  <si>
    <t>R H 316 OBR</t>
  </si>
  <si>
    <t>R H 317 OBR</t>
  </si>
  <si>
    <t>R H 318 OBR</t>
  </si>
  <si>
    <t>R H 319 OBR</t>
  </si>
  <si>
    <t>R H 320 OBR</t>
  </si>
  <si>
    <t>R H 322 OBR</t>
  </si>
  <si>
    <t>R H 3124 OBR</t>
  </si>
  <si>
    <t>R H 3126 OBR</t>
  </si>
  <si>
    <t>R H 3128 OBR</t>
  </si>
  <si>
    <t>R H 3130 OBR</t>
  </si>
  <si>
    <t>R H 3132 OBR</t>
  </si>
  <si>
    <t>R H 2304 OBR</t>
  </si>
  <si>
    <t>R H 2305 OBR</t>
  </si>
  <si>
    <t>R H 2306 OBR</t>
  </si>
  <si>
    <t>R H 2307 OBR</t>
  </si>
  <si>
    <t>R H 2308 OBR</t>
  </si>
  <si>
    <t>R H 2309 OBR</t>
  </si>
  <si>
    <t>R H 2310 OBR</t>
  </si>
  <si>
    <t>R H 2311 OBR</t>
  </si>
  <si>
    <t>R H 2312 OBR</t>
  </si>
  <si>
    <t>R H 2313 OBR</t>
  </si>
  <si>
    <t>R H 2314 OBR</t>
  </si>
  <si>
    <t>R H 2315 OBR</t>
  </si>
  <si>
    <t>R H 2316 OBR</t>
  </si>
  <si>
    <t>R H 2317 OBR</t>
  </si>
  <si>
    <t>R H 2318 OBR</t>
  </si>
  <si>
    <t>R H 2319 OBR</t>
  </si>
  <si>
    <t>R H 2320 OBR</t>
  </si>
  <si>
    <t>R H 2322 OBR</t>
  </si>
  <si>
    <t>R H 2324 OBR</t>
  </si>
  <si>
    <t>R H 2326 OBR</t>
  </si>
  <si>
    <t>R H 2328 OBR</t>
  </si>
  <si>
    <t>R H 2330 OBR</t>
  </si>
  <si>
    <t>R H 2332 OBR</t>
  </si>
  <si>
    <t>R H 2334 OBR</t>
  </si>
  <si>
    <t>R H 2336 OBR</t>
  </si>
  <si>
    <t>R H 2338 OBR</t>
  </si>
  <si>
    <t>R H 2340 OBR</t>
  </si>
  <si>
    <t>Manşonlar</t>
  </si>
  <si>
    <t>KİLOSU</t>
  </si>
  <si>
    <t>LHZ 21-10-2015</t>
  </si>
  <si>
    <t>OBR-BE-H-204</t>
  </si>
  <si>
    <t>OBR-BE-H-205</t>
  </si>
  <si>
    <t>OBR-BE-H-206</t>
  </si>
  <si>
    <t>OBR-BE-H-207</t>
  </si>
  <si>
    <t>OBR-BE-H-208</t>
  </si>
  <si>
    <t>OBR-BE-H-209</t>
  </si>
  <si>
    <t>OBR-BE-H-210</t>
  </si>
  <si>
    <t>OBR-BE-H-211</t>
  </si>
  <si>
    <t>OBR-BE-H-212</t>
  </si>
  <si>
    <t>OBR-BE-H-213</t>
  </si>
  <si>
    <t>OBR-BE-H-214</t>
  </si>
  <si>
    <t>OBR-BE-H-215</t>
  </si>
  <si>
    <t>OBR-BE-H-216</t>
  </si>
  <si>
    <t>OBR-BE-H-217</t>
  </si>
  <si>
    <t>OBR-BE-H-218</t>
  </si>
  <si>
    <t>OBR-BE-H-219</t>
  </si>
  <si>
    <t>OBR-BE-H-220</t>
  </si>
  <si>
    <t>OBR-BE-H-222</t>
  </si>
  <si>
    <t>OBR-BE-H-304</t>
  </si>
  <si>
    <t>OBR-BE-H-305</t>
  </si>
  <si>
    <t>OBR-BE-H-306</t>
  </si>
  <si>
    <t>OBR-BE-H-307</t>
  </si>
  <si>
    <t>OBR-BE-H-308</t>
  </si>
  <si>
    <t>OBR-BE-H-309</t>
  </si>
  <si>
    <t>OBR-BE-H-310</t>
  </si>
  <si>
    <t>OBR-BE-H-311</t>
  </si>
  <si>
    <t>OBR-BE-H-312</t>
  </si>
  <si>
    <t>OBR-BE-H-313</t>
  </si>
  <si>
    <t>OBR-BE-H-314</t>
  </si>
  <si>
    <t>OBR-BE-H-315</t>
  </si>
  <si>
    <t>OBR-BE-H-316</t>
  </si>
  <si>
    <t>OBR-BE-H-317</t>
  </si>
  <si>
    <t>OBR-BE-H-318</t>
  </si>
  <si>
    <t>OBR-BE-H-319</t>
  </si>
  <si>
    <t>OBR-BE-H-320</t>
  </si>
  <si>
    <t>OBR-BE-H-322</t>
  </si>
  <si>
    <t>OBR-BE-H-3124</t>
  </si>
  <si>
    <t>OBR-BE-H-3126</t>
  </si>
  <si>
    <t>OBR-BE-H-3128</t>
  </si>
  <si>
    <t>OBR-BE-H-3130</t>
  </si>
  <si>
    <t>OBR-BE-H-3132</t>
  </si>
  <si>
    <t>OBR-BE-H-2304</t>
  </si>
  <si>
    <t>OBR-BE-H-2305</t>
  </si>
  <si>
    <t>OBR-BE-H-2306</t>
  </si>
  <si>
    <t>OBR-BE-H-2307</t>
  </si>
  <si>
    <t>OBR-BE-H-2308</t>
  </si>
  <si>
    <t>OBR-BE-H-2309</t>
  </si>
  <si>
    <t>OBR-BE-H-2310</t>
  </si>
  <si>
    <t>OBR-BE-H-2311</t>
  </si>
  <si>
    <t>OBR-BE-H-2312</t>
  </si>
  <si>
    <t>OBR-BE-H-2313</t>
  </si>
  <si>
    <t>OBR-BE-H-2314</t>
  </si>
  <si>
    <t>OBR-BE-H-2315</t>
  </si>
  <si>
    <t>OBR-BE-H-2316</t>
  </si>
  <si>
    <t>OBR-BE-H-2317</t>
  </si>
  <si>
    <t>OBR-BE-H-2318</t>
  </si>
  <si>
    <t>OBR-BE-H-2319</t>
  </si>
  <si>
    <t>OBR-BE-H-2320</t>
  </si>
  <si>
    <t>OBR-BE-H-2322</t>
  </si>
  <si>
    <t>OBR-BE-H-2324</t>
  </si>
  <si>
    <t>OBR-BE-H-2326</t>
  </si>
  <si>
    <t>OBR-BE-H-2328</t>
  </si>
  <si>
    <t>OBR-BE-H-2330</t>
  </si>
  <si>
    <t>OBR-BE-H-2332</t>
  </si>
  <si>
    <t>OBR-BE-H-2334</t>
  </si>
  <si>
    <t>OBR-BE-H-2336</t>
  </si>
  <si>
    <t>OBR-BE-H-2338</t>
  </si>
  <si>
    <t>OBR-BE-H-2340</t>
  </si>
  <si>
    <t>R SN 505</t>
  </si>
  <si>
    <t>R SN 506</t>
  </si>
  <si>
    <t xml:space="preserve">R SN 507 </t>
  </si>
  <si>
    <t xml:space="preserve">R SN 508 </t>
  </si>
  <si>
    <t>R SN 509</t>
  </si>
  <si>
    <t xml:space="preserve">R SN 510 </t>
  </si>
  <si>
    <t xml:space="preserve">R SN 511 </t>
  </si>
  <si>
    <t xml:space="preserve">R SN 512 </t>
  </si>
  <si>
    <t xml:space="preserve">R SN 513 </t>
  </si>
  <si>
    <t xml:space="preserve">R SN 514 </t>
  </si>
  <si>
    <t xml:space="preserve">R SN 515 </t>
  </si>
  <si>
    <t xml:space="preserve">R SN 516 </t>
  </si>
  <si>
    <t xml:space="preserve">R SN 517 </t>
  </si>
  <si>
    <t xml:space="preserve">R SN 518 </t>
  </si>
  <si>
    <t xml:space="preserve">R SN 519 </t>
  </si>
  <si>
    <t xml:space="preserve">R SN 520 </t>
  </si>
  <si>
    <t xml:space="preserve">R SN 522 </t>
  </si>
  <si>
    <t xml:space="preserve">R SN 524 </t>
  </si>
  <si>
    <t xml:space="preserve">R SN 526 </t>
  </si>
  <si>
    <t xml:space="preserve">R SNH 506 </t>
  </si>
  <si>
    <t xml:space="preserve">R SNH 507 </t>
  </si>
  <si>
    <t xml:space="preserve">R SNH 508 </t>
  </si>
  <si>
    <t xml:space="preserve">R SNH 509 </t>
  </si>
  <si>
    <t xml:space="preserve">R SNH 510 </t>
  </si>
  <si>
    <t xml:space="preserve">R SNH 511 </t>
  </si>
  <si>
    <t xml:space="preserve">R SNH 512 </t>
  </si>
  <si>
    <t xml:space="preserve">R SNH 513 </t>
  </si>
  <si>
    <t xml:space="preserve">R SNH 514 </t>
  </si>
  <si>
    <t xml:space="preserve">R SNH 515 </t>
  </si>
  <si>
    <t xml:space="preserve">R SNH 516 </t>
  </si>
  <si>
    <t xml:space="preserve">R SNH 517 </t>
  </si>
  <si>
    <t xml:space="preserve">R SNH 518 </t>
  </si>
  <si>
    <t xml:space="preserve">R SNH 519 </t>
  </si>
  <si>
    <t xml:space="preserve">R SNH 520 </t>
  </si>
  <si>
    <t xml:space="preserve">R SNH 522 </t>
  </si>
  <si>
    <t xml:space="preserve">R SNH 524 </t>
  </si>
  <si>
    <t xml:space="preserve">R SNH 526 </t>
  </si>
  <si>
    <t>OBR-BE-GU-1000</t>
  </si>
  <si>
    <t>OBR-BE-GU-1000-C</t>
  </si>
  <si>
    <t>TAW-BE-GU-1000-C</t>
  </si>
  <si>
    <t>OBR-BE-GU-1100</t>
  </si>
  <si>
    <t>OBR-BE-GU-1100-C</t>
  </si>
  <si>
    <t>TAW-BE-GU-1100-C</t>
  </si>
  <si>
    <t>OBR-BE-GU-1100-T</t>
  </si>
  <si>
    <t>OBR-BE-GU-1380-C</t>
  </si>
  <si>
    <t>TAW-BE-GU-1380-C</t>
  </si>
  <si>
    <t>OBR-BE-GU-1700-C</t>
  </si>
  <si>
    <t>TAW-BE-GU-1700-C</t>
  </si>
  <si>
    <t>OBR-BE-GU-1740</t>
  </si>
  <si>
    <t>TAW-BE-GU-1740</t>
  </si>
  <si>
    <t>OBR-BE-GU-1760</t>
  </si>
  <si>
    <t>TAW-BE-GU-1760</t>
  </si>
  <si>
    <t>OBR-BE-GU-1780</t>
  </si>
  <si>
    <t>TAW-BE-GU-1780</t>
  </si>
  <si>
    <t>OBR-BE-GU-2010</t>
  </si>
  <si>
    <t>TAW-BE-GU-2010-C</t>
  </si>
  <si>
    <t>OBR-BE-GU-2050-C</t>
  </si>
  <si>
    <t>TAW-BE-GU-2050-C</t>
  </si>
  <si>
    <t>OBR-BE-GU-2050-T</t>
  </si>
  <si>
    <t>TAW-BE-GU-2050-T</t>
  </si>
  <si>
    <t>OBR-BE-GU-2200-C</t>
  </si>
  <si>
    <t>TAW-BE-GU-2200-C</t>
  </si>
  <si>
    <t>OBR-BE-GU-2200-T</t>
  </si>
  <si>
    <t>TAW-BE-GU-2200-T</t>
  </si>
  <si>
    <t>OBR-BE-GU-2300-C</t>
  </si>
  <si>
    <t>TAW-BE-GU-2300-C</t>
  </si>
  <si>
    <t>OBR-BE-GU-2771</t>
  </si>
  <si>
    <t>TAW-BE-GU-2771</t>
  </si>
  <si>
    <t>OBR-BE-GU-2781-C</t>
  </si>
  <si>
    <t>OBR-BE-GU-2732-C</t>
  </si>
  <si>
    <t>TAW-BE-GU-2732</t>
  </si>
  <si>
    <t>OBR-BE-GU-2892-C</t>
  </si>
  <si>
    <t>TAW-BE-GU-2892</t>
  </si>
  <si>
    <t>OBR-BE-GU-3082</t>
  </si>
  <si>
    <t>TAW-BE-GU-3082-C</t>
  </si>
  <si>
    <t>TAW-BE-GU-3100-C</t>
  </si>
  <si>
    <t>OBR-BE-GU-3276</t>
  </si>
  <si>
    <t>TAW-BE-GU-3276</t>
  </si>
  <si>
    <t>OBR-BE-GU-3500-C</t>
  </si>
  <si>
    <t>TAW-BE-GU-3500-C</t>
  </si>
  <si>
    <t>OBR-BE-GU-3593</t>
  </si>
  <si>
    <t>TAW-BE-GU-3593</t>
  </si>
  <si>
    <t>OBR-BE-GU-500</t>
  </si>
  <si>
    <t>TAW-BE-GU-500</t>
  </si>
  <si>
    <t>NN-BE-GU-500-C</t>
  </si>
  <si>
    <t>OBR-BE-GU-500-C</t>
  </si>
  <si>
    <t>TAW-BE-GU-500-C</t>
  </si>
  <si>
    <t>OBR-BE-GU-500-T</t>
  </si>
  <si>
    <t>TAW-BE-GU-500-T</t>
  </si>
  <si>
    <t>NN-BE-GU-500-C-WB</t>
  </si>
  <si>
    <t>OBR-BE-GU-500-C-WB</t>
  </si>
  <si>
    <t>TAW-BE-GU-500-C-WB</t>
  </si>
  <si>
    <t>OBR-BE-GU-7280/4</t>
  </si>
  <si>
    <t>TAW-BE-GU-7280/4</t>
  </si>
  <si>
    <t>OBR-BE-GU-7430</t>
  </si>
  <si>
    <t>TAW-BE-GU-7430</t>
  </si>
  <si>
    <t>OBR-BE-GU-7440</t>
  </si>
  <si>
    <t>TAW-BE-GU-7440</t>
  </si>
  <si>
    <t>OBR-BE-GU-9050</t>
  </si>
  <si>
    <t>TAW-BE-GU-9050</t>
  </si>
  <si>
    <t>OBR-BE-GUM-88</t>
  </si>
  <si>
    <t>TAW-BE-GUM-88</t>
  </si>
  <si>
    <t>OBR-BE-GUM-93-C</t>
  </si>
  <si>
    <t>TAW-BE-GUM-93</t>
  </si>
  <si>
    <t>OBR-BE-GUMZ-3-4</t>
  </si>
  <si>
    <t>TAW-BE-GUMZ-3-4</t>
  </si>
  <si>
    <t>OBR-BE-GUMZ-9</t>
  </si>
  <si>
    <t>TAW-BE-GUMZ-9</t>
  </si>
  <si>
    <t>OBR-BE-GUS-2</t>
  </si>
  <si>
    <t>TAW-BE-GUS-2</t>
  </si>
  <si>
    <t>OBR-BE-GUS-7</t>
  </si>
  <si>
    <t>TAW-BE-GUS-7-C</t>
  </si>
  <si>
    <t>OBR-BE-GUT-21</t>
  </si>
  <si>
    <t>TAW-BE-GUT-21</t>
  </si>
  <si>
    <t>R GU 2892 TAW</t>
  </si>
  <si>
    <t>R GU 3082 OBR</t>
  </si>
  <si>
    <t>R GU 3082 C TAW</t>
  </si>
  <si>
    <t>R GU 3100 C TAW</t>
  </si>
  <si>
    <t>R GU 3276 OBR</t>
  </si>
  <si>
    <t>R GU 3276 TAW</t>
  </si>
  <si>
    <t>R GU 3500 C OBR</t>
  </si>
  <si>
    <t>R GU 3500 C TAW</t>
  </si>
  <si>
    <t>R GU 3593 OBR</t>
  </si>
  <si>
    <t>R GU 3593 TAW</t>
  </si>
  <si>
    <t>R GU 500 OBR</t>
  </si>
  <si>
    <t>R GU 500 TAW</t>
  </si>
  <si>
    <t>R GU 500 C MARKASIZ</t>
  </si>
  <si>
    <t>R GU 500 C OBR</t>
  </si>
  <si>
    <t>R GU 500 C TAW</t>
  </si>
  <si>
    <t>R GU 500 T OBR</t>
  </si>
  <si>
    <t>R GU 500 T TAW</t>
  </si>
  <si>
    <t>R GU 500 C TAKOZ MARKASIZ</t>
  </si>
  <si>
    <t>R GU 500 C TAKOZ OBR</t>
  </si>
  <si>
    <t>R GU 500 C TAKOZ TAW</t>
  </si>
  <si>
    <t>R GU 7280/4 OBR</t>
  </si>
  <si>
    <t>R GU 7280/4 TAW</t>
  </si>
  <si>
    <t>R GU 7430 OBR</t>
  </si>
  <si>
    <t>R GU 7430 TAW</t>
  </si>
  <si>
    <t>R GU 7440 OBR</t>
  </si>
  <si>
    <t>R GU 7440 TAW</t>
  </si>
  <si>
    <t>R GU 9050 OBR</t>
  </si>
  <si>
    <t>R GU 9050 TAW</t>
  </si>
  <si>
    <t>R GUM 88 OBR</t>
  </si>
  <si>
    <t>R GUM 88 TAW</t>
  </si>
  <si>
    <t>R GUM 93 C OBR</t>
  </si>
  <si>
    <t>R GUM 93 TAW</t>
  </si>
  <si>
    <t>R GUMZ-3-4 OBR</t>
  </si>
  <si>
    <t>R GUMZ-3-4 TAW</t>
  </si>
  <si>
    <t>R GUMZ-9 OBR</t>
  </si>
  <si>
    <t>R GUMZ-9 TAW</t>
  </si>
  <si>
    <t>R GUS 2 OBR</t>
  </si>
  <si>
    <t>R GUS 2 TAW</t>
  </si>
  <si>
    <t>R GUS 7 OBR</t>
  </si>
  <si>
    <t>R GUS 7 C TAW</t>
  </si>
  <si>
    <t>R GUT 21 OBR</t>
  </si>
  <si>
    <t>R GUT 21 TAW</t>
  </si>
  <si>
    <t>R GU 1000 OBR</t>
  </si>
  <si>
    <t>R GU 1000 C OBR</t>
  </si>
  <si>
    <t>R GU 1000 C TAW</t>
  </si>
  <si>
    <t>R GU 1100 OBR</t>
  </si>
  <si>
    <t>R GU 1100 C OBR</t>
  </si>
  <si>
    <t>R GU 1100 C TAW</t>
  </si>
  <si>
    <t>R GU 1100 T OBR</t>
  </si>
  <si>
    <t>R GU 1380 C OBR</t>
  </si>
  <si>
    <t>R GU 1380 C TAW</t>
  </si>
  <si>
    <t>R GU 1700 C OBR</t>
  </si>
  <si>
    <t>R GU 1700 C TAW</t>
  </si>
  <si>
    <t>R GU 1740 OBR</t>
  </si>
  <si>
    <t>R GU 1740 TAW</t>
  </si>
  <si>
    <t>R GU 1760 OBR</t>
  </si>
  <si>
    <t>R GU 1760 TAW</t>
  </si>
  <si>
    <t>R GU 1780 OBR</t>
  </si>
  <si>
    <t>R GU 1780 TAW</t>
  </si>
  <si>
    <t>R GU 2010 OBR</t>
  </si>
  <si>
    <t>R GU 2010 C TAW</t>
  </si>
  <si>
    <t>R GU 2050 C OBR</t>
  </si>
  <si>
    <t>R GU 2050 C TAW</t>
  </si>
  <si>
    <t>R GU 2050 T OBR</t>
  </si>
  <si>
    <t>R GU 2050 T TAW</t>
  </si>
  <si>
    <t>R GU 2200 C OBR</t>
  </si>
  <si>
    <t>R GU 2200 C TAW</t>
  </si>
  <si>
    <t>R GU 2200 T OBR</t>
  </si>
  <si>
    <t>R GU 2200 T TAW</t>
  </si>
  <si>
    <t>R GU 2300 C OBR</t>
  </si>
  <si>
    <t>R GU 2300 C TAW</t>
  </si>
  <si>
    <t>R GU 2771 OBR</t>
  </si>
  <si>
    <t>R GU 2771 TAW</t>
  </si>
  <si>
    <t>R GU 2781 C OBR</t>
  </si>
  <si>
    <t>R GU 2732 C OBR</t>
  </si>
  <si>
    <t>R GU 2732 TAW</t>
  </si>
  <si>
    <t>R GU 2892 C OBR</t>
  </si>
  <si>
    <t>TAW-QC-1/2-F</t>
  </si>
  <si>
    <t>TAW-QC-1/2-M</t>
  </si>
  <si>
    <t>TAW-QC-3/4-M</t>
  </si>
  <si>
    <t>TAW-QC-3/4-F</t>
  </si>
  <si>
    <t>TAW-QC-1-M</t>
  </si>
  <si>
    <t>TAW-QC-1-F</t>
  </si>
  <si>
    <t>TAW-QC-1-1/4-M</t>
  </si>
  <si>
    <t>TAW-QC-1-1/4-F</t>
  </si>
  <si>
    <t>824A-3 1/2 G DISI</t>
  </si>
  <si>
    <t>824A-3 1/2 G ERKEK</t>
  </si>
  <si>
    <t>824A-10 3/4 G ERKEK</t>
  </si>
  <si>
    <t>824A-10 3/4 G DISI</t>
  </si>
  <si>
    <t>824A-2 1 G ERKEK</t>
  </si>
  <si>
    <t>824A-2 1 G DISI</t>
  </si>
  <si>
    <t>824A-11 1-1/4 G ERKEK</t>
  </si>
  <si>
    <t>824A-11 1-1/4 G DISI</t>
  </si>
  <si>
    <t>KM 0 SOMUN</t>
  </si>
  <si>
    <t>KM 01 SOMUN</t>
  </si>
  <si>
    <t>KM 02 SOMUN</t>
  </si>
  <si>
    <t>KM 03 SOMUN</t>
  </si>
  <si>
    <t>KM 04 SOMUN</t>
  </si>
  <si>
    <t>KM 05 SOMUN</t>
  </si>
  <si>
    <t>KM 06 SOMUN</t>
  </si>
  <si>
    <t>KM 07 SOMUN</t>
  </si>
  <si>
    <t>KM 08 SOMUN</t>
  </si>
  <si>
    <t>KM 09 SOMUN</t>
  </si>
  <si>
    <t>KM 10 SOMUN</t>
  </si>
  <si>
    <t>KM 11 SOMUN</t>
  </si>
  <si>
    <t>KM 12 SOMUN</t>
  </si>
  <si>
    <t>KM 13 SOMUN</t>
  </si>
  <si>
    <t>KM 14 SOMUN</t>
  </si>
  <si>
    <t>KM 15 SOMUN</t>
  </si>
  <si>
    <t>KM 16 SOMUN</t>
  </si>
  <si>
    <t>KM 17 SOMUN</t>
  </si>
  <si>
    <t>KM 18 SOMUN</t>
  </si>
  <si>
    <t>KM 19 SOMUN</t>
  </si>
  <si>
    <t>KM 20 SOMUN</t>
  </si>
  <si>
    <t>KM 22 SOMUN</t>
  </si>
  <si>
    <t>KM 23 SOMUN</t>
  </si>
  <si>
    <t>KM 24 SOMUN</t>
  </si>
  <si>
    <t>KM 25 SOMUN</t>
  </si>
  <si>
    <t>KM 26 SOMUN</t>
  </si>
  <si>
    <t>KM 28 SOMUN</t>
  </si>
  <si>
    <t>KM 29 SOMUN</t>
  </si>
  <si>
    <t>KM 38 SOMUN</t>
  </si>
  <si>
    <t>KM 0 SOMUN FIBERLI</t>
  </si>
  <si>
    <t>KM 01 SOMUN FIBERLI</t>
  </si>
  <si>
    <t>KM 02 SOMUN FIBERLI</t>
  </si>
  <si>
    <t>KM 03 SOMUN FIBERLI</t>
  </si>
  <si>
    <t>KM 04 SOMUN FIBERLI</t>
  </si>
  <si>
    <t>KM 05 SOMUN FIBERLI</t>
  </si>
  <si>
    <t>KM 06 SOMUN FIBERLI</t>
  </si>
  <si>
    <t>KM 07 SOMUN FIBERLI</t>
  </si>
  <si>
    <t>KM 08 SOMUN FIBERLI</t>
  </si>
  <si>
    <t>KM 09 SOMUN FIBERLI</t>
  </si>
  <si>
    <t>KM 10 SOMUN FIBERLI</t>
  </si>
  <si>
    <t>KM 11 SOMUN FIBERLI</t>
  </si>
  <si>
    <t>KM 12 SOMUN FIBERLI</t>
  </si>
  <si>
    <t>KM 13 SOMUN FIBERLI</t>
  </si>
  <si>
    <t>KM 14 SOMUN FIBERLI</t>
  </si>
  <si>
    <t>KM 15 SOMUN FIBERLI</t>
  </si>
  <si>
    <t>MB 0 PUL</t>
  </si>
  <si>
    <t>MB 01 PUL</t>
  </si>
  <si>
    <t>MB 02 PUL</t>
  </si>
  <si>
    <t>MB 03 PUL</t>
  </si>
  <si>
    <t>MB 04 PUL</t>
  </si>
  <si>
    <t>MB 05 PUL</t>
  </si>
  <si>
    <t>MB 06 PUL</t>
  </si>
  <si>
    <t>MB 07 PUL</t>
  </si>
  <si>
    <t>MB 08 PUL</t>
  </si>
  <si>
    <t>MB 09 PUL</t>
  </si>
  <si>
    <t>MB 10 PUL</t>
  </si>
  <si>
    <t>MB 11 PUL</t>
  </si>
  <si>
    <t>MB 12 PUL</t>
  </si>
  <si>
    <t>MB 13 PUL</t>
  </si>
  <si>
    <t>MB 14 PUL</t>
  </si>
  <si>
    <t>MB 15 PUL</t>
  </si>
  <si>
    <t>MB 16 PUL</t>
  </si>
  <si>
    <t>MB 17 PUL</t>
  </si>
  <si>
    <t>MB 18 PUL</t>
  </si>
  <si>
    <t>MB 19 PUL</t>
  </si>
  <si>
    <t>MB 20 PUL</t>
  </si>
  <si>
    <t>MB 21 PUL</t>
  </si>
  <si>
    <t>MB 22 PUL</t>
  </si>
  <si>
    <t>MB 23 PUL</t>
  </si>
  <si>
    <t>MB 24 PUL</t>
  </si>
  <si>
    <t>MB 25 PUL</t>
  </si>
  <si>
    <t>MB 26 PUL</t>
  </si>
  <si>
    <t>MB 27 PUL</t>
  </si>
  <si>
    <t>MB 28 PUL</t>
  </si>
  <si>
    <t>MB 29 PUL</t>
  </si>
  <si>
    <t>MB 30 PUL</t>
  </si>
  <si>
    <t>MB 38 PUL</t>
  </si>
  <si>
    <t>SN-SNH Rulmanlar</t>
  </si>
  <si>
    <t>İstavrozlar</t>
  </si>
  <si>
    <t>Jaklar</t>
  </si>
  <si>
    <t>KM-MB</t>
  </si>
  <si>
    <t>TAW-BG-1.5M-16T</t>
  </si>
  <si>
    <t>TAW-BG-1.5M-18T</t>
  </si>
  <si>
    <t>TAW-BG-1.5M-20T</t>
  </si>
  <si>
    <t>TAW-BG-1.5M-22T</t>
  </si>
  <si>
    <t>TAW-BG-1.5M-24T</t>
  </si>
  <si>
    <t>TAW-BG-1.5M-25T</t>
  </si>
  <si>
    <t>TAW-BG-1.5M-26T</t>
  </si>
  <si>
    <t>TAW-BG-1.5M-28T</t>
  </si>
  <si>
    <t>TAW-BG-2M-16T</t>
  </si>
  <si>
    <t>TAW-BG-2M-20T</t>
  </si>
  <si>
    <t>TAW-BG-2M-22T</t>
  </si>
  <si>
    <t>TAW-BG-2M-48T</t>
  </si>
  <si>
    <t>TAW-BG-2.5M-15T</t>
  </si>
  <si>
    <t>TAW-BG-2.5M-16T</t>
  </si>
  <si>
    <t>TAW-BG-3M-20T</t>
  </si>
  <si>
    <t>TAW-BG-3M-42T</t>
  </si>
  <si>
    <t>TAW-BG-4M-16T</t>
  </si>
  <si>
    <t>TAW-BG-3.5M-15T</t>
  </si>
  <si>
    <t>TAW-BG-3.5M-16T</t>
  </si>
  <si>
    <t>TAW-BG-3.5M-17T</t>
  </si>
  <si>
    <t>TAW-BG-3.5M-18T</t>
  </si>
  <si>
    <t>TAW-BG-3.5M-19T</t>
  </si>
  <si>
    <t>TAW-BG-3.5M-20T</t>
  </si>
  <si>
    <t>TAW-BG-3.5M-21T</t>
  </si>
  <si>
    <t>TAW-BG-3.5M-22T</t>
  </si>
  <si>
    <t>TAW-BG-3.5M-23T</t>
  </si>
  <si>
    <t>TAW-BG-3.5M-24T</t>
  </si>
  <si>
    <t>TAW-BG-3.5M-25T</t>
  </si>
  <si>
    <t>TAW-BG-3.5M-26T</t>
  </si>
  <si>
    <t>TAW-BG-3.5M-28T</t>
  </si>
  <si>
    <t>TAW-BG-3.5M-30T</t>
  </si>
  <si>
    <t>TAW-BG-3.5M-32T</t>
  </si>
  <si>
    <t>TAW-BG-3.5M-34T</t>
  </si>
  <si>
    <t>TAW-BG-3.5M-35T</t>
  </si>
  <si>
    <t>TAW-BG-3.5M-36T</t>
  </si>
  <si>
    <t>TAW-BG-3.5M-38T</t>
  </si>
  <si>
    <t>TAW-BG-3.5M-40T</t>
  </si>
  <si>
    <t>TAW-BG-3.5M-42T</t>
  </si>
  <si>
    <t>TAW-BG-3.5M-45T</t>
  </si>
  <si>
    <t>TAW-BG-6.25M-66T</t>
  </si>
  <si>
    <t>TAW-DHG-24B-20T</t>
  </si>
  <si>
    <t>TAW-CPR-GS-09</t>
  </si>
  <si>
    <t>TAW-CPR-GS-14</t>
  </si>
  <si>
    <t>TAW-CPR-GS-19</t>
  </si>
  <si>
    <t>TAW-CPR-GS-24</t>
  </si>
  <si>
    <t>TAW-CPR-GS-28</t>
  </si>
  <si>
    <t>TAW-CPR-GS-38</t>
  </si>
  <si>
    <t>TAW-CPR-GS-42</t>
  </si>
  <si>
    <t>TAW-CPR-GS-48</t>
  </si>
  <si>
    <t>1,5 MODUL 16 BEVEL GEAR</t>
  </si>
  <si>
    <t>1,5 MODUL 18 BEVEL GEAR</t>
  </si>
  <si>
    <t>1,5 MODUL 20 BEVEL GEAR</t>
  </si>
  <si>
    <t>1,5 MODUL 22 BEVEL GEAR</t>
  </si>
  <si>
    <t>1,5 MODUL 24 BEVEL GEAR</t>
  </si>
  <si>
    <t>1,5 MODUL 25 BEVEL GEAR</t>
  </si>
  <si>
    <t>1,5 MODUL 26 BEVEL GEAR</t>
  </si>
  <si>
    <t>1,5 MODUL 28 BEVEL GEAR</t>
  </si>
  <si>
    <t>2 MODUL 16 BEVEL GEAR</t>
  </si>
  <si>
    <t>2 MODUL 20 BEVEL GEAR</t>
  </si>
  <si>
    <t>2 MODUL 22 BEVEL GEAR</t>
  </si>
  <si>
    <t>2 MODUL 48 BEVEL GEAR</t>
  </si>
  <si>
    <t>2,5 MODUL 15 BEVEL GEAR</t>
  </si>
  <si>
    <t>2,5 MODUL 16 BEVEL GEAR</t>
  </si>
  <si>
    <t>3 MODUL 20  BEVEL GEAR</t>
  </si>
  <si>
    <t>3 MODUL 42 BEVEL GEAR</t>
  </si>
  <si>
    <t>4 MODUL 16 BEVEL GEAR</t>
  </si>
  <si>
    <t>3.5 MODUL 15 BEVEL GEAR</t>
  </si>
  <si>
    <t>3.5 MODUL 16 BEVEL GEAR</t>
  </si>
  <si>
    <t>3.5 MODUL 17 BEVEL GEAR</t>
  </si>
  <si>
    <t>3.5 MODUL 18 BEVEL GEAR</t>
  </si>
  <si>
    <t>3.5 MODUL 19 BEVEL GEAR</t>
  </si>
  <si>
    <t>3.5 MODUL 20 BEVEL GEAR</t>
  </si>
  <si>
    <t>3.5 MODUL 21 BEVEL GEAR</t>
  </si>
  <si>
    <t>3.5 MODUL 22 BEVEL GEAR</t>
  </si>
  <si>
    <t>3.5 MODUL 23 BEVEL GEAR</t>
  </si>
  <si>
    <t>3.5 MODUL 24 BEVEL GEAR</t>
  </si>
  <si>
    <t>3.5 MODUL 25 BEVEL GEAR</t>
  </si>
  <si>
    <t>3.5 MODUL 26 BEVEL GEAR</t>
  </si>
  <si>
    <t>3.5 MODUL 28 BEVEL GEAR</t>
  </si>
  <si>
    <t>3.5 MODUL 30 BEVEL GEAR</t>
  </si>
  <si>
    <t>3.5 MODUL 32 BEVEL GEAR</t>
  </si>
  <si>
    <t>3.5 MODUL 34 BEVEL GEAR</t>
  </si>
  <si>
    <t>3.5 MODUL 35 BEVEL GEAR</t>
  </si>
  <si>
    <t>3.5 MODUL 36 BEVEL GEAR</t>
  </si>
  <si>
    <t>3.5 MODUL 38 BEVEL GEAR</t>
  </si>
  <si>
    <t>3.5 MODUL 40 BEVEL GEAR</t>
  </si>
  <si>
    <t>3.5 MODUL 42 BEVEL GEAR</t>
  </si>
  <si>
    <t>3.5 MODUL 45 BEVEL GEAR</t>
  </si>
  <si>
    <t xml:space="preserve">6.25M 66T </t>
  </si>
  <si>
    <t>24B-20T (Doublr Hub)</t>
  </si>
  <si>
    <t>GS 09 COUPLING RUBBER</t>
  </si>
  <si>
    <t>GS 14 COUPLING RUBBER</t>
  </si>
  <si>
    <t>GS 19 COUPLING RUBBER</t>
  </si>
  <si>
    <t>GS 24 COUPLING RUBBER</t>
  </si>
  <si>
    <t>GS 28 COUPLING RUBBER</t>
  </si>
  <si>
    <t>GS 38 COUPLING RUBBER</t>
  </si>
  <si>
    <t>GS 42 COUPLING RUBBER</t>
  </si>
  <si>
    <t>GS 48 COUPLING RUBBER</t>
  </si>
  <si>
    <t>Modüler</t>
  </si>
  <si>
    <t>OBR-BE-SN-505</t>
  </si>
  <si>
    <t>OBR-BE-SN-506</t>
  </si>
  <si>
    <t>OBR-BE-SN-507</t>
  </si>
  <si>
    <t>OBR-BE-SN-508</t>
  </si>
  <si>
    <t>OBR-BE-SN-509</t>
  </si>
  <si>
    <t>OBR-BE-SN-510</t>
  </si>
  <si>
    <t>OBR-BE-SN-511</t>
  </si>
  <si>
    <t>OBR-BE-SN-512</t>
  </si>
  <si>
    <t>OBR-BE-SN-513</t>
  </si>
  <si>
    <t>OBR-BE-SN-514</t>
  </si>
  <si>
    <t>OBR-BE-SN-515</t>
  </si>
  <si>
    <t>OBR-BE-SN-516</t>
  </si>
  <si>
    <t>OBR-BE-SN-517</t>
  </si>
  <si>
    <t>OBR-BE-SN-518</t>
  </si>
  <si>
    <t>OBR-BE-SN-519</t>
  </si>
  <si>
    <t>OBR-BE-SN-520</t>
  </si>
  <si>
    <t>OBR-BE-SN-522</t>
  </si>
  <si>
    <t>OBR-BE-SN-524</t>
  </si>
  <si>
    <t>OBR-BE-SN-526</t>
  </si>
  <si>
    <t>OBR-BE-SNH-506</t>
  </si>
  <si>
    <t>OBR-BE-SNH-507</t>
  </si>
  <si>
    <t>OBR-BE-SNH-508</t>
  </si>
  <si>
    <t>OBR-BE-SNH-509</t>
  </si>
  <si>
    <t>OBR-BE-SNH-510</t>
  </si>
  <si>
    <t>OBR-BE-SNH-511</t>
  </si>
  <si>
    <t>OBR-BE-SNH-512</t>
  </si>
  <si>
    <t>OBR-BE-SNH-513</t>
  </si>
  <si>
    <t>OBR-BE-SNH-514</t>
  </si>
  <si>
    <t>OBR-BE-SNH-515</t>
  </si>
  <si>
    <t>OBR-BE-SNH-516</t>
  </si>
  <si>
    <t>OBR-BE-SNH-517</t>
  </si>
  <si>
    <t>OBR-BE-SNH-518</t>
  </si>
  <si>
    <t>OBR-BE-SNH-519</t>
  </si>
  <si>
    <t>OBR-BE-SNH-520</t>
  </si>
  <si>
    <t>OBR-BE-SNH-522</t>
  </si>
  <si>
    <t>OBR-BE-SNH-524</t>
  </si>
  <si>
    <t>OBR-BE-SNH-526</t>
  </si>
  <si>
    <t>OBR-KM-0-NUT</t>
  </si>
  <si>
    <t>OBR-KM-01-NUT</t>
  </si>
  <si>
    <t>OBR-KM-02-NUT</t>
  </si>
  <si>
    <t>OBR-KM-03-NUT</t>
  </si>
  <si>
    <t>OBR-KM-04-NUT</t>
  </si>
  <si>
    <t>OBR-KM-05-NUT</t>
  </si>
  <si>
    <t>OBR-KM-06-NUT</t>
  </si>
  <si>
    <t>OBR-KM-07-NUT</t>
  </si>
  <si>
    <t>OBR-KM-08-NUT</t>
  </si>
  <si>
    <t>OBR-KM-09-NUT</t>
  </si>
  <si>
    <t>OBR-KM-10-NUT</t>
  </si>
  <si>
    <t>OBR-KM-11-NUT</t>
  </si>
  <si>
    <t>OBR-KM-12-NUT</t>
  </si>
  <si>
    <t>OBR-KM-13-NUT</t>
  </si>
  <si>
    <t>OBR-KM-14-NUT</t>
  </si>
  <si>
    <t>OBR-KM-15-NUT</t>
  </si>
  <si>
    <t>OBR-KM-16-NUT</t>
  </si>
  <si>
    <t>OBR-KM-17-NUT</t>
  </si>
  <si>
    <t>OBR-KM-18-NUT</t>
  </si>
  <si>
    <t>OBR-KM-19-NUT</t>
  </si>
  <si>
    <t>OBR-KM-20-NUT</t>
  </si>
  <si>
    <t>OBR-KM-22-NUT</t>
  </si>
  <si>
    <t>OBR-KM-23-NUT</t>
  </si>
  <si>
    <t>OBR-KM-24-NUT</t>
  </si>
  <si>
    <t>OBR-KM-25-NUT</t>
  </si>
  <si>
    <t>OBR-KM-26-NUT</t>
  </si>
  <si>
    <t>OBR-KM-28-NUT</t>
  </si>
  <si>
    <t>OBR-KM-29-NUT</t>
  </si>
  <si>
    <t>OBR-KM-38-NUT</t>
  </si>
  <si>
    <t>OBR-KM-0-NUT-FBR</t>
  </si>
  <si>
    <t>OBR-KM-01-NUT-FBR</t>
  </si>
  <si>
    <t>OBR-KM-02-NUT-FBR</t>
  </si>
  <si>
    <t>OBR-KM-03-NUT-FBR</t>
  </si>
  <si>
    <t>OBR-KM-04-NUT-FBR</t>
  </si>
  <si>
    <t>OBR-KM-05-NUT-FBR</t>
  </si>
  <si>
    <t>OBR-KM-06-NUT-FBR</t>
  </si>
  <si>
    <t>OBR-KM-07-NUT-FBR</t>
  </si>
  <si>
    <t>OBR-KM-08-NUT-FBR</t>
  </si>
  <si>
    <t>OBR-KM-09-NUT-FBR</t>
  </si>
  <si>
    <t>OBR-KM-10-NUT-FBR</t>
  </si>
  <si>
    <t>OBR-KM-11-NUT-FBR</t>
  </si>
  <si>
    <t>OBR-KM-12-NUT-FBR</t>
  </si>
  <si>
    <t>OBR-KM-13-NUT-FBR</t>
  </si>
  <si>
    <t>OBR-KM-14-NUT-FBR</t>
  </si>
  <si>
    <t>OBR-KM-15-NUT-FBR</t>
  </si>
  <si>
    <t>OBR-MB-0-WSH</t>
  </si>
  <si>
    <t>OBR-MB-01-WSH</t>
  </si>
  <si>
    <t>OBR-MB-02-WSH</t>
  </si>
  <si>
    <t>OBR-MB-03-WSH</t>
  </si>
  <si>
    <t>OBR-MB-04-WSH</t>
  </si>
  <si>
    <t>OBR-MB-05-WSH</t>
  </si>
  <si>
    <t>OBR-MB-06-WSH</t>
  </si>
  <si>
    <t>OBR-MB-07-WSH</t>
  </si>
  <si>
    <t>OBR-MB-08-WSH</t>
  </si>
  <si>
    <t>OBR-MB-09-WSH</t>
  </si>
  <si>
    <t>OBR-MB-10-WSH</t>
  </si>
  <si>
    <t>OBR-MB-11-WSH</t>
  </si>
  <si>
    <t>OBR-MB-12-WSH</t>
  </si>
  <si>
    <t>OBR-MB-13-WSH</t>
  </si>
  <si>
    <t>OBR-MB-14-WSH</t>
  </si>
  <si>
    <t>OBR-MB-15-WSH</t>
  </si>
  <si>
    <t>OBR-MB-16-WSH</t>
  </si>
  <si>
    <t>OBR-MB-17-WSH</t>
  </si>
  <si>
    <t>OBR-MB-18-WSH</t>
  </si>
  <si>
    <t>OBR-MB-19-WSH</t>
  </si>
  <si>
    <t>OBR-MB-20-WSH</t>
  </si>
  <si>
    <t>OBR-MB-21-WSH</t>
  </si>
  <si>
    <t>OBR-MB-22-WSH</t>
  </si>
  <si>
    <t>OBR-MB-23-WSH</t>
  </si>
  <si>
    <t>OBR-MB-24-WSH</t>
  </si>
  <si>
    <t>OBR-MB-25-WSH</t>
  </si>
  <si>
    <t>OBR-MB-26-WSH</t>
  </si>
  <si>
    <t>OBR-MB-27-WSH</t>
  </si>
  <si>
    <t>OBR-MB-28-WSH</t>
  </si>
  <si>
    <t>OBR-MB-29-WSH</t>
  </si>
  <si>
    <t>OBR-MB-30-WSH</t>
  </si>
  <si>
    <t>OBR-MB-38-WSH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</si>
</sst>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[$$-409]#,##0.0000;[Red][$$-409]#,##0.0000"/>
    <numFmt numFmtId="166" formatCode="0.000"/>
    <numFmt numFmtId="168" formatCode="[$$-409]#,##0.000"/>
    <numFmt numFmtId="169" formatCode="[$$-409]#,##0.000;[Red][$$-409]#,##0.000"/>
  </numFmts>
  <fonts count="1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 Tur"/>
      <family val="2"/>
      <charset val="162"/>
    </font>
    <font>
      <sz val="10"/>
      <name val="Verdana"/>
      <family val="2"/>
      <charset val="162"/>
    </font>
    <font>
      <sz val="10"/>
      <color indexed="12"/>
      <name val="Verdana"/>
      <family val="2"/>
      <charset val="162"/>
    </font>
    <font>
      <b/>
      <sz val="10"/>
      <name val="Arial Tur"/>
      <charset val="162"/>
    </font>
    <font>
      <sz val="11"/>
      <color theme="1"/>
      <name val="Calibri"/>
      <family val="2"/>
      <scheme val="minor"/>
    </font>
    <font>
      <b/>
      <sz val="10"/>
      <color indexed="12"/>
      <name val="Arial Tur"/>
      <charset val="162"/>
    </font>
    <font>
      <sz val="10"/>
      <name val="Calibri"/>
      <family val="2"/>
      <charset val="162"/>
      <scheme val="minor"/>
    </font>
    <font>
      <sz val="8"/>
      <name val="Verdana"/>
      <family val="2"/>
      <charset val="162"/>
    </font>
    <font>
      <sz val="8"/>
      <color indexed="12"/>
      <name val="Verdana"/>
      <family val="2"/>
      <charset val="162"/>
    </font>
    <font>
      <sz val="8"/>
      <color rgb="FFFF0000"/>
      <name val="Calibri"/>
      <family val="2"/>
      <charset val="162"/>
      <scheme val="minor"/>
    </font>
    <font>
      <sz val="8"/>
      <color indexed="12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/>
  </cellStyleXfs>
  <cellXfs count="22">
    <xf numFmtId="0" fontId="0" fillId="0" borderId="0" xfId="0" applyNumberFormat="1"/>
    <xf numFmtId="0" fontId="0" fillId="0" borderId="0" xfId="0"/>
    <xf numFmtId="0" fontId="0" fillId="0" borderId="1" xfId="0" applyBorder="1"/>
    <xf numFmtId="166" fontId="7" fillId="2" borderId="3" xfId="0" applyNumberFormat="1" applyFont="1" applyFill="1" applyBorder="1" applyAlignment="1">
      <alignment horizontal="center" vertical="center" textRotation="90" wrapText="1"/>
    </xf>
    <xf numFmtId="0" fontId="3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/>
    </xf>
    <xf numFmtId="0" fontId="3" fillId="3" borderId="5" xfId="0" applyFont="1" applyFill="1" applyBorder="1"/>
    <xf numFmtId="168" fontId="3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 wrapText="1"/>
    </xf>
    <xf numFmtId="168" fontId="4" fillId="4" borderId="5" xfId="0" applyNumberFormat="1" applyFont="1" applyFill="1" applyBorder="1" applyAlignment="1">
      <alignment horizontal="center"/>
    </xf>
    <xf numFmtId="168" fontId="4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3" borderId="5" xfId="2" applyFont="1" applyFill="1" applyBorder="1" applyAlignment="1">
      <alignment horizontal="center"/>
    </xf>
    <xf numFmtId="0" fontId="9" fillId="5" borderId="5" xfId="2" applyFont="1" applyFill="1" applyBorder="1" applyAlignment="1">
      <alignment horizontal="center"/>
    </xf>
    <xf numFmtId="0" fontId="9" fillId="3" borderId="5" xfId="0" applyFont="1" applyFill="1" applyBorder="1"/>
    <xf numFmtId="168" fontId="10" fillId="4" borderId="5" xfId="0" applyNumberFormat="1" applyFont="1" applyFill="1" applyBorder="1" applyAlignment="1">
      <alignment horizontal="center"/>
    </xf>
    <xf numFmtId="168" fontId="10" fillId="5" borderId="5" xfId="0" applyNumberFormat="1" applyFont="1" applyFill="1" applyBorder="1" applyAlignment="1">
      <alignment horizontal="center"/>
    </xf>
    <xf numFmtId="0" fontId="11" fillId="3" borderId="2" xfId="2" applyFont="1" applyFill="1" applyBorder="1" applyAlignment="1">
      <alignment horizontal="center"/>
    </xf>
    <xf numFmtId="169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 applyAlignment="1">
      <alignment horizontal="center"/>
    </xf>
  </cellXfs>
  <cellStyles count="4">
    <cellStyle name="Normal" xfId="0" builtinId="0"/>
    <cellStyle name="Normal 3" xfId="3"/>
    <cellStyle name="Normal_Sayfa1" xfId="2"/>
    <cellStyle name="常规_Sheet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7"/>
  <sheetViews>
    <sheetView tabSelected="1" topLeftCell="A239" workbookViewId="0">
      <selection activeCell="H269" sqref="H269:H317"/>
    </sheetView>
  </sheetViews>
  <sheetFormatPr defaultRowHeight="15.75" x14ac:dyDescent="0.25"/>
  <cols>
    <col min="1" max="1" width="14.25" style="1" bestFit="1" customWidth="1"/>
    <col min="2" max="2" width="11.5" style="1" customWidth="1"/>
    <col min="3" max="3" width="20.625" customWidth="1"/>
    <col min="8" max="8" width="10.875" bestFit="1" customWidth="1"/>
  </cols>
  <sheetData>
    <row r="1" spans="1:2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tr">
        <f>"OBR-"&amp;SUBSTITUTE(SUBSTITUTE(SUBSTITUTE(B2," ","-"),"R-","BE-"),"-OBR","")</f>
        <v>OBR-BE-H-204</v>
      </c>
      <c r="B2" s="1" t="s">
        <v>25</v>
      </c>
      <c r="C2" t="s">
        <v>93</v>
      </c>
      <c r="D2">
        <f>VLOOKUP(A2,Sayfa2!C:D,2,0)</f>
        <v>0.54</v>
      </c>
      <c r="G2" t="s">
        <v>22</v>
      </c>
      <c r="H2">
        <f>VLOOKUP(A2,Sayfa2!A:B,2,0)</f>
        <v>4.1000000000000002E-2</v>
      </c>
      <c r="I2" t="s">
        <v>23</v>
      </c>
      <c r="J2" t="s">
        <v>24</v>
      </c>
    </row>
    <row r="3" spans="1:22" x14ac:dyDescent="0.25">
      <c r="A3" s="1" t="str">
        <f t="shared" ref="A3:A66" si="0">"OBR-"&amp;SUBSTITUTE(SUBSTITUTE(SUBSTITUTE(B3," ","-"),"R-","BE-"),"-OBR","")</f>
        <v>OBR-BE-H-205</v>
      </c>
      <c r="B3" s="1" t="s">
        <v>26</v>
      </c>
      <c r="C3" t="s">
        <v>93</v>
      </c>
      <c r="D3">
        <f>VLOOKUP(A3,Sayfa2!C:D,2,0)</f>
        <v>0.49</v>
      </c>
      <c r="G3" t="s">
        <v>22</v>
      </c>
      <c r="H3">
        <f>VLOOKUP(A3,Sayfa2!A:B,2,0)</f>
        <v>7.0000000000000007E-2</v>
      </c>
      <c r="I3" t="s">
        <v>23</v>
      </c>
      <c r="J3" t="s">
        <v>24</v>
      </c>
    </row>
    <row r="4" spans="1:22" x14ac:dyDescent="0.25">
      <c r="A4" s="1" t="str">
        <f t="shared" si="0"/>
        <v>OBR-BE-H-206</v>
      </c>
      <c r="B4" s="1" t="s">
        <v>27</v>
      </c>
      <c r="C4" t="s">
        <v>93</v>
      </c>
      <c r="D4">
        <f>VLOOKUP(A4,Sayfa2!C:D,2,0)</f>
        <v>0.51</v>
      </c>
      <c r="G4" t="s">
        <v>22</v>
      </c>
      <c r="H4">
        <f>VLOOKUP(A4,Sayfa2!A:B,2,0)</f>
        <v>0.1</v>
      </c>
      <c r="I4" t="s">
        <v>23</v>
      </c>
      <c r="J4" t="s">
        <v>24</v>
      </c>
    </row>
    <row r="5" spans="1:22" x14ac:dyDescent="0.25">
      <c r="A5" s="1" t="str">
        <f t="shared" si="0"/>
        <v>OBR-BE-H-207</v>
      </c>
      <c r="B5" s="1" t="s">
        <v>28</v>
      </c>
      <c r="C5" t="s">
        <v>93</v>
      </c>
      <c r="D5">
        <f>VLOOKUP(A5,Sayfa2!C:D,2,0)</f>
        <v>0.56999999999999995</v>
      </c>
      <c r="G5" t="s">
        <v>22</v>
      </c>
      <c r="H5">
        <f>VLOOKUP(A5,Sayfa2!A:B,2,0)</f>
        <v>0.13</v>
      </c>
      <c r="I5" t="s">
        <v>23</v>
      </c>
      <c r="J5" t="s">
        <v>24</v>
      </c>
    </row>
    <row r="6" spans="1:22" x14ac:dyDescent="0.25">
      <c r="A6" s="1" t="str">
        <f t="shared" si="0"/>
        <v>OBR-BE-H-208</v>
      </c>
      <c r="B6" s="1" t="s">
        <v>29</v>
      </c>
      <c r="C6" t="s">
        <v>93</v>
      </c>
      <c r="D6">
        <f>VLOOKUP(A6,Sayfa2!C:D,2,0)</f>
        <v>0.62</v>
      </c>
      <c r="G6" t="s">
        <v>22</v>
      </c>
      <c r="H6">
        <f>VLOOKUP(A6,Sayfa2!A:B,2,0)</f>
        <v>0.17</v>
      </c>
      <c r="I6" t="s">
        <v>23</v>
      </c>
      <c r="J6" t="s">
        <v>24</v>
      </c>
    </row>
    <row r="7" spans="1:22" x14ac:dyDescent="0.25">
      <c r="A7" s="1" t="str">
        <f t="shared" si="0"/>
        <v>OBR-BE-H-209</v>
      </c>
      <c r="B7" s="1" t="s">
        <v>30</v>
      </c>
      <c r="C7" t="s">
        <v>93</v>
      </c>
      <c r="D7">
        <f>VLOOKUP(A7,Sayfa2!C:D,2,0)</f>
        <v>0.72</v>
      </c>
      <c r="G7" t="s">
        <v>22</v>
      </c>
      <c r="H7">
        <f>VLOOKUP(A7,Sayfa2!A:B,2,0)</f>
        <v>0.23</v>
      </c>
      <c r="I7" t="s">
        <v>23</v>
      </c>
      <c r="J7" t="s">
        <v>24</v>
      </c>
    </row>
    <row r="8" spans="1:22" x14ac:dyDescent="0.25">
      <c r="A8" s="1" t="str">
        <f t="shared" si="0"/>
        <v>OBR-BE-H-210</v>
      </c>
      <c r="B8" s="1" t="s">
        <v>31</v>
      </c>
      <c r="C8" t="s">
        <v>93</v>
      </c>
      <c r="D8">
        <f>VLOOKUP(A8,Sayfa2!C:D,2,0)</f>
        <v>0.82</v>
      </c>
      <c r="G8" t="s">
        <v>22</v>
      </c>
      <c r="H8">
        <f>VLOOKUP(A8,Sayfa2!A:B,2,0)</f>
        <v>0.27</v>
      </c>
      <c r="I8" t="s">
        <v>23</v>
      </c>
      <c r="J8" t="s">
        <v>24</v>
      </c>
    </row>
    <row r="9" spans="1:22" x14ac:dyDescent="0.25">
      <c r="A9" s="1" t="str">
        <f t="shared" si="0"/>
        <v>OBR-BE-H-211</v>
      </c>
      <c r="B9" s="1" t="s">
        <v>32</v>
      </c>
      <c r="C9" t="s">
        <v>93</v>
      </c>
      <c r="D9">
        <f>VLOOKUP(A9,Sayfa2!C:D,2,0)</f>
        <v>0.92</v>
      </c>
      <c r="G9" t="s">
        <v>22</v>
      </c>
      <c r="H9">
        <f>VLOOKUP(A9,Sayfa2!A:B,2,0)</f>
        <v>0.31</v>
      </c>
      <c r="I9" t="s">
        <v>23</v>
      </c>
      <c r="J9" t="s">
        <v>24</v>
      </c>
    </row>
    <row r="10" spans="1:22" x14ac:dyDescent="0.25">
      <c r="A10" s="1" t="str">
        <f t="shared" si="0"/>
        <v>OBR-BE-H-212</v>
      </c>
      <c r="B10" s="1" t="s">
        <v>33</v>
      </c>
      <c r="C10" t="s">
        <v>93</v>
      </c>
      <c r="D10">
        <f>VLOOKUP(A10,Sayfa2!C:D,2,0)</f>
        <v>1.05</v>
      </c>
      <c r="G10" t="s">
        <v>22</v>
      </c>
      <c r="H10">
        <f>VLOOKUP(A10,Sayfa2!A:B,2,0)</f>
        <v>0.35</v>
      </c>
      <c r="I10" t="s">
        <v>23</v>
      </c>
      <c r="J10" t="s">
        <v>24</v>
      </c>
    </row>
    <row r="11" spans="1:22" x14ac:dyDescent="0.25">
      <c r="A11" s="1" t="str">
        <f t="shared" si="0"/>
        <v>OBR-BE-H-213</v>
      </c>
      <c r="B11" s="1" t="s">
        <v>34</v>
      </c>
      <c r="C11" t="s">
        <v>93</v>
      </c>
      <c r="D11">
        <f>VLOOKUP(A11,Sayfa2!C:D,2,0)</f>
        <v>1.19</v>
      </c>
      <c r="G11" t="s">
        <v>22</v>
      </c>
      <c r="H11">
        <f>VLOOKUP(A11,Sayfa2!A:B,2,0)</f>
        <v>0.4</v>
      </c>
      <c r="I11" t="s">
        <v>23</v>
      </c>
      <c r="J11" t="s">
        <v>24</v>
      </c>
    </row>
    <row r="12" spans="1:22" x14ac:dyDescent="0.25">
      <c r="A12" s="1" t="str">
        <f t="shared" si="0"/>
        <v>OBR-BE-H-214</v>
      </c>
      <c r="B12" s="1" t="s">
        <v>35</v>
      </c>
      <c r="C12" t="s">
        <v>93</v>
      </c>
      <c r="D12">
        <f>VLOOKUP(A12,Sayfa2!C:D,2,0)</f>
        <v>1.76</v>
      </c>
      <c r="G12" t="s">
        <v>22</v>
      </c>
      <c r="H12">
        <f>VLOOKUP(A12,Sayfa2!A:B,2,0)</f>
        <v>0.6</v>
      </c>
      <c r="I12" t="s">
        <v>23</v>
      </c>
      <c r="J12" t="s">
        <v>24</v>
      </c>
    </row>
    <row r="13" spans="1:22" x14ac:dyDescent="0.25">
      <c r="A13" s="1" t="str">
        <f t="shared" si="0"/>
        <v>OBR-BE-H-215</v>
      </c>
      <c r="B13" s="1" t="s">
        <v>36</v>
      </c>
      <c r="C13" t="s">
        <v>93</v>
      </c>
      <c r="D13">
        <f>VLOOKUP(A13,Sayfa2!C:D,2,0)</f>
        <v>1.88</v>
      </c>
      <c r="G13" t="s">
        <v>22</v>
      </c>
      <c r="H13">
        <f>VLOOKUP(A13,Sayfa2!A:B,2,0)</f>
        <v>0.71</v>
      </c>
      <c r="I13" t="s">
        <v>23</v>
      </c>
      <c r="J13" t="s">
        <v>24</v>
      </c>
    </row>
    <row r="14" spans="1:22" x14ac:dyDescent="0.25">
      <c r="A14" s="1" t="str">
        <f t="shared" si="0"/>
        <v>OBR-BE-H-216</v>
      </c>
      <c r="B14" s="1" t="s">
        <v>37</v>
      </c>
      <c r="C14" t="s">
        <v>93</v>
      </c>
      <c r="D14">
        <f>VLOOKUP(A14,Sayfa2!C:D,2,0)</f>
        <v>2.4</v>
      </c>
      <c r="G14" t="s">
        <v>22</v>
      </c>
      <c r="H14">
        <f>VLOOKUP(A14,Sayfa2!A:B,2,0)</f>
        <v>0.88</v>
      </c>
      <c r="I14" t="s">
        <v>23</v>
      </c>
      <c r="J14" t="s">
        <v>24</v>
      </c>
    </row>
    <row r="15" spans="1:22" x14ac:dyDescent="0.25">
      <c r="A15" s="1" t="str">
        <f t="shared" si="0"/>
        <v>OBR-BE-H-217</v>
      </c>
      <c r="B15" s="1" t="s">
        <v>38</v>
      </c>
      <c r="C15" t="s">
        <v>93</v>
      </c>
      <c r="D15">
        <f>VLOOKUP(A15,Sayfa2!C:D,2,0)</f>
        <v>2.73</v>
      </c>
      <c r="G15" t="s">
        <v>22</v>
      </c>
      <c r="H15">
        <f>VLOOKUP(A15,Sayfa2!A:B,2,0)</f>
        <v>1.02</v>
      </c>
      <c r="I15" t="s">
        <v>23</v>
      </c>
      <c r="J15" t="s">
        <v>24</v>
      </c>
    </row>
    <row r="16" spans="1:22" x14ac:dyDescent="0.25">
      <c r="A16" s="1" t="str">
        <f t="shared" si="0"/>
        <v>OBR-BE-H-218</v>
      </c>
      <c r="B16" s="1" t="s">
        <v>39</v>
      </c>
      <c r="C16" t="s">
        <v>93</v>
      </c>
      <c r="D16">
        <f>VLOOKUP(A16,Sayfa2!C:D,2,0)</f>
        <v>3.22</v>
      </c>
      <c r="G16" t="s">
        <v>22</v>
      </c>
      <c r="H16">
        <f>VLOOKUP(A16,Sayfa2!A:B,2,0)</f>
        <v>1.19</v>
      </c>
      <c r="I16" t="s">
        <v>23</v>
      </c>
      <c r="J16" t="s">
        <v>24</v>
      </c>
    </row>
    <row r="17" spans="1:10" x14ac:dyDescent="0.25">
      <c r="A17" s="1" t="str">
        <f t="shared" si="0"/>
        <v>OBR-BE-H-219</v>
      </c>
      <c r="B17" s="1" t="s">
        <v>40</v>
      </c>
      <c r="C17" t="s">
        <v>93</v>
      </c>
      <c r="D17">
        <f>VLOOKUP(A17,Sayfa2!C:D,2,0)</f>
        <v>3.77</v>
      </c>
      <c r="G17" t="s">
        <v>22</v>
      </c>
      <c r="H17">
        <f>VLOOKUP(A17,Sayfa2!A:B,2,0)</f>
        <v>1.45</v>
      </c>
      <c r="I17" t="s">
        <v>23</v>
      </c>
      <c r="J17" t="s">
        <v>24</v>
      </c>
    </row>
    <row r="18" spans="1:10" x14ac:dyDescent="0.25">
      <c r="A18" s="1" t="str">
        <f t="shared" si="0"/>
        <v>OBR-BE-H-220</v>
      </c>
      <c r="B18" s="1" t="s">
        <v>41</v>
      </c>
      <c r="C18" t="s">
        <v>93</v>
      </c>
      <c r="D18">
        <f>VLOOKUP(A18,Sayfa2!C:D,2,0)</f>
        <v>4.0999999999999996</v>
      </c>
      <c r="G18" t="s">
        <v>22</v>
      </c>
      <c r="H18">
        <f>VLOOKUP(A18,Sayfa2!A:B,2,0)</f>
        <v>1.63</v>
      </c>
      <c r="I18" t="s">
        <v>23</v>
      </c>
      <c r="J18" t="s">
        <v>24</v>
      </c>
    </row>
    <row r="19" spans="1:10" x14ac:dyDescent="0.25">
      <c r="A19" s="1" t="str">
        <f t="shared" si="0"/>
        <v>OBR-BE-H-222</v>
      </c>
      <c r="B19" s="1" t="s">
        <v>42</v>
      </c>
      <c r="C19" t="s">
        <v>93</v>
      </c>
      <c r="D19">
        <f>VLOOKUP(A19,Sayfa2!C:D,2,0)</f>
        <v>4.88</v>
      </c>
      <c r="G19" t="s">
        <v>22</v>
      </c>
      <c r="H19">
        <f>VLOOKUP(A19,Sayfa2!A:B,2,0)</f>
        <v>2.0299999999999998</v>
      </c>
      <c r="I19" t="s">
        <v>23</v>
      </c>
      <c r="J19" t="s">
        <v>24</v>
      </c>
    </row>
    <row r="20" spans="1:10" x14ac:dyDescent="0.25">
      <c r="A20" s="1" t="str">
        <f t="shared" si="0"/>
        <v>OBR-BE-H-304</v>
      </c>
      <c r="B20" s="1" t="s">
        <v>43</v>
      </c>
      <c r="C20" t="s">
        <v>93</v>
      </c>
      <c r="D20">
        <f>VLOOKUP(A20,Sayfa2!C:D,2,0)</f>
        <v>0.53</v>
      </c>
      <c r="G20" t="s">
        <v>22</v>
      </c>
      <c r="H20">
        <f>VLOOKUP(A20,Sayfa2!A:B,2,0)</f>
        <v>4.4999999999999998E-2</v>
      </c>
      <c r="I20" t="s">
        <v>23</v>
      </c>
      <c r="J20" t="s">
        <v>24</v>
      </c>
    </row>
    <row r="21" spans="1:10" x14ac:dyDescent="0.25">
      <c r="A21" s="1" t="str">
        <f t="shared" si="0"/>
        <v>OBR-BE-H-305</v>
      </c>
      <c r="B21" s="1" t="s">
        <v>44</v>
      </c>
      <c r="C21" t="s">
        <v>93</v>
      </c>
      <c r="D21">
        <f>VLOOKUP(A21,Sayfa2!C:D,2,0)</f>
        <v>0.53</v>
      </c>
      <c r="G21" t="s">
        <v>22</v>
      </c>
      <c r="H21">
        <f>VLOOKUP(A21,Sayfa2!A:B,2,0)</f>
        <v>0.08</v>
      </c>
      <c r="I21" t="s">
        <v>23</v>
      </c>
      <c r="J21" t="s">
        <v>24</v>
      </c>
    </row>
    <row r="22" spans="1:10" x14ac:dyDescent="0.25">
      <c r="A22" s="1" t="str">
        <f t="shared" si="0"/>
        <v>OBR-BE-H-306</v>
      </c>
      <c r="B22" s="1" t="s">
        <v>45</v>
      </c>
      <c r="C22" t="s">
        <v>93</v>
      </c>
      <c r="D22">
        <f>VLOOKUP(A22,Sayfa2!C:D,2,0)</f>
        <v>0.55000000000000004</v>
      </c>
      <c r="G22" t="s">
        <v>22</v>
      </c>
      <c r="H22">
        <f>VLOOKUP(A22,Sayfa2!A:B,2,0)</f>
        <v>0.11</v>
      </c>
      <c r="I22" t="s">
        <v>23</v>
      </c>
      <c r="J22" t="s">
        <v>24</v>
      </c>
    </row>
    <row r="23" spans="1:10" x14ac:dyDescent="0.25">
      <c r="A23" s="1" t="str">
        <f t="shared" si="0"/>
        <v>OBR-BE-H-307</v>
      </c>
      <c r="B23" s="1" t="s">
        <v>46</v>
      </c>
      <c r="C23" t="s">
        <v>93</v>
      </c>
      <c r="D23">
        <f>VLOOKUP(A23,Sayfa2!C:D,2,0)</f>
        <v>0.61</v>
      </c>
      <c r="G23" t="s">
        <v>22</v>
      </c>
      <c r="H23">
        <f>VLOOKUP(A23,Sayfa2!A:B,2,0)</f>
        <v>0.14000000000000001</v>
      </c>
      <c r="I23" t="s">
        <v>23</v>
      </c>
      <c r="J23" t="s">
        <v>24</v>
      </c>
    </row>
    <row r="24" spans="1:10" x14ac:dyDescent="0.25">
      <c r="A24" s="1" t="str">
        <f t="shared" si="0"/>
        <v>OBR-BE-H-308</v>
      </c>
      <c r="B24" s="1" t="s">
        <v>47</v>
      </c>
      <c r="C24" t="s">
        <v>93</v>
      </c>
      <c r="D24">
        <f>VLOOKUP(A24,Sayfa2!C:D,2,0)</f>
        <v>0.7</v>
      </c>
      <c r="G24" t="s">
        <v>22</v>
      </c>
      <c r="H24">
        <f>VLOOKUP(A24,Sayfa2!A:B,2,0)</f>
        <v>0.19</v>
      </c>
      <c r="I24" t="s">
        <v>23</v>
      </c>
      <c r="J24" t="s">
        <v>24</v>
      </c>
    </row>
    <row r="25" spans="1:10" x14ac:dyDescent="0.25">
      <c r="A25" s="1" t="str">
        <f t="shared" si="0"/>
        <v>OBR-BE-H-309</v>
      </c>
      <c r="B25" s="1" t="s">
        <v>48</v>
      </c>
      <c r="C25" t="s">
        <v>93</v>
      </c>
      <c r="D25">
        <f>VLOOKUP(A25,Sayfa2!C:D,2,0)</f>
        <v>0.82</v>
      </c>
      <c r="G25" t="s">
        <v>22</v>
      </c>
      <c r="H25">
        <f>VLOOKUP(A25,Sayfa2!A:B,2,0)</f>
        <v>0.25</v>
      </c>
      <c r="I25" t="s">
        <v>23</v>
      </c>
      <c r="J25" t="s">
        <v>24</v>
      </c>
    </row>
    <row r="26" spans="1:10" x14ac:dyDescent="0.25">
      <c r="A26" s="1" t="str">
        <f t="shared" si="0"/>
        <v>OBR-BE-H-310</v>
      </c>
      <c r="B26" s="1" t="s">
        <v>49</v>
      </c>
      <c r="C26" t="s">
        <v>93</v>
      </c>
      <c r="D26">
        <f>VLOOKUP(A26,Sayfa2!C:D,2,0)</f>
        <v>0.9</v>
      </c>
      <c r="G26" t="s">
        <v>22</v>
      </c>
      <c r="H26">
        <f>VLOOKUP(A26,Sayfa2!A:B,2,0)</f>
        <v>0.3</v>
      </c>
      <c r="I26" t="s">
        <v>23</v>
      </c>
      <c r="J26" t="s">
        <v>24</v>
      </c>
    </row>
    <row r="27" spans="1:10" x14ac:dyDescent="0.25">
      <c r="A27" s="1" t="str">
        <f t="shared" si="0"/>
        <v>OBR-BE-H-311</v>
      </c>
      <c r="B27" s="1" t="s">
        <v>50</v>
      </c>
      <c r="C27" t="s">
        <v>93</v>
      </c>
      <c r="D27">
        <f>VLOOKUP(A27,Sayfa2!C:D,2,0)</f>
        <v>1</v>
      </c>
      <c r="G27" t="s">
        <v>22</v>
      </c>
      <c r="H27">
        <f>VLOOKUP(A27,Sayfa2!A:B,2,0)</f>
        <v>0.35</v>
      </c>
      <c r="I27" t="s">
        <v>23</v>
      </c>
      <c r="J27" t="s">
        <v>24</v>
      </c>
    </row>
    <row r="28" spans="1:10" x14ac:dyDescent="0.25">
      <c r="A28" s="1" t="str">
        <f t="shared" si="0"/>
        <v>OBR-BE-H-312</v>
      </c>
      <c r="B28" s="1" t="s">
        <v>51</v>
      </c>
      <c r="C28" t="s">
        <v>93</v>
      </c>
      <c r="D28">
        <f>VLOOKUP(A28,Sayfa2!C:D,2,0)</f>
        <v>1.1499999999999999</v>
      </c>
      <c r="G28" t="s">
        <v>22</v>
      </c>
      <c r="H28">
        <f>VLOOKUP(A28,Sayfa2!A:B,2,0)</f>
        <v>0.39</v>
      </c>
      <c r="I28" t="s">
        <v>23</v>
      </c>
      <c r="J28" t="s">
        <v>24</v>
      </c>
    </row>
    <row r="29" spans="1:10" x14ac:dyDescent="0.25">
      <c r="A29" s="1" t="str">
        <f t="shared" si="0"/>
        <v>OBR-BE-H-313</v>
      </c>
      <c r="B29" s="1" t="s">
        <v>52</v>
      </c>
      <c r="C29" t="s">
        <v>93</v>
      </c>
      <c r="D29">
        <f>VLOOKUP(A29,Sayfa2!C:D,2,0)</f>
        <v>1.31</v>
      </c>
      <c r="G29" t="s">
        <v>22</v>
      </c>
      <c r="H29">
        <f>VLOOKUP(A29,Sayfa2!A:B,2,0)</f>
        <v>0.46</v>
      </c>
      <c r="I29" t="s">
        <v>23</v>
      </c>
      <c r="J29" t="s">
        <v>24</v>
      </c>
    </row>
    <row r="30" spans="1:10" x14ac:dyDescent="0.25">
      <c r="A30" s="1" t="str">
        <f t="shared" si="0"/>
        <v>OBR-BE-H-314</v>
      </c>
      <c r="B30" s="1" t="s">
        <v>53</v>
      </c>
      <c r="C30" t="s">
        <v>93</v>
      </c>
      <c r="D30">
        <f>VLOOKUP(A30,Sayfa2!C:D,2,0)</f>
        <v>1.78</v>
      </c>
      <c r="G30" t="s">
        <v>22</v>
      </c>
      <c r="H30">
        <f>VLOOKUP(A30,Sayfa2!A:B,2,0)</f>
        <v>0.72</v>
      </c>
      <c r="I30" t="s">
        <v>23</v>
      </c>
      <c r="J30" t="s">
        <v>24</v>
      </c>
    </row>
    <row r="31" spans="1:10" x14ac:dyDescent="0.25">
      <c r="A31" s="1" t="str">
        <f t="shared" si="0"/>
        <v>OBR-BE-H-315</v>
      </c>
      <c r="B31" s="1" t="s">
        <v>54</v>
      </c>
      <c r="C31" t="s">
        <v>93</v>
      </c>
      <c r="D31">
        <f>VLOOKUP(A31,Sayfa2!C:D,2,0)</f>
        <v>2.2999999999999998</v>
      </c>
      <c r="G31" t="s">
        <v>22</v>
      </c>
      <c r="H31">
        <f>VLOOKUP(A31,Sayfa2!A:B,2,0)</f>
        <v>0.83</v>
      </c>
      <c r="I31" t="s">
        <v>23</v>
      </c>
      <c r="J31" t="s">
        <v>24</v>
      </c>
    </row>
    <row r="32" spans="1:10" x14ac:dyDescent="0.25">
      <c r="A32" s="1" t="str">
        <f t="shared" si="0"/>
        <v>OBR-BE-H-316</v>
      </c>
      <c r="B32" s="1" t="s">
        <v>55</v>
      </c>
      <c r="C32" t="s">
        <v>93</v>
      </c>
      <c r="D32">
        <f>VLOOKUP(A32,Sayfa2!C:D,2,0)</f>
        <v>2.48</v>
      </c>
      <c r="G32" t="s">
        <v>22</v>
      </c>
      <c r="H32">
        <f>VLOOKUP(A32,Sayfa2!A:B,2,0)</f>
        <v>1.03</v>
      </c>
      <c r="I32" t="s">
        <v>23</v>
      </c>
      <c r="J32" t="s">
        <v>24</v>
      </c>
    </row>
    <row r="33" spans="1:10" x14ac:dyDescent="0.25">
      <c r="A33" s="1" t="str">
        <f t="shared" si="0"/>
        <v>OBR-BE-H-317</v>
      </c>
      <c r="B33" s="1" t="s">
        <v>56</v>
      </c>
      <c r="C33" t="s">
        <v>93</v>
      </c>
      <c r="D33">
        <f>VLOOKUP(A33,Sayfa2!C:D,2,0)</f>
        <v>3</v>
      </c>
      <c r="G33" t="s">
        <v>22</v>
      </c>
      <c r="H33">
        <f>VLOOKUP(A33,Sayfa2!A:B,2,0)</f>
        <v>1.18</v>
      </c>
      <c r="I33" t="s">
        <v>23</v>
      </c>
      <c r="J33" t="s">
        <v>24</v>
      </c>
    </row>
    <row r="34" spans="1:10" x14ac:dyDescent="0.25">
      <c r="A34" s="1" t="str">
        <f t="shared" si="0"/>
        <v>OBR-BE-H-318</v>
      </c>
      <c r="B34" s="1" t="s">
        <v>57</v>
      </c>
      <c r="C34" t="s">
        <v>93</v>
      </c>
      <c r="D34">
        <f>VLOOKUP(A34,Sayfa2!C:D,2,0)</f>
        <v>3.32</v>
      </c>
      <c r="G34" t="s">
        <v>22</v>
      </c>
      <c r="H34">
        <f>VLOOKUP(A34,Sayfa2!A:B,2,0)</f>
        <v>1.37</v>
      </c>
      <c r="I34" t="s">
        <v>23</v>
      </c>
      <c r="J34" t="s">
        <v>24</v>
      </c>
    </row>
    <row r="35" spans="1:10" x14ac:dyDescent="0.25">
      <c r="A35" s="1" t="str">
        <f t="shared" si="0"/>
        <v>OBR-BE-H-319</v>
      </c>
      <c r="B35" s="1" t="s">
        <v>58</v>
      </c>
      <c r="C35" t="s">
        <v>93</v>
      </c>
      <c r="D35">
        <f>VLOOKUP(A35,Sayfa2!C:D,2,0)</f>
        <v>3.9</v>
      </c>
      <c r="G35" t="s">
        <v>22</v>
      </c>
      <c r="H35">
        <f>VLOOKUP(A35,Sayfa2!A:B,2,0)</f>
        <v>1.51</v>
      </c>
      <c r="I35" t="s">
        <v>23</v>
      </c>
      <c r="J35" t="s">
        <v>24</v>
      </c>
    </row>
    <row r="36" spans="1:10" x14ac:dyDescent="0.25">
      <c r="A36" s="1" t="str">
        <f t="shared" si="0"/>
        <v>OBR-BE-H-320</v>
      </c>
      <c r="B36" s="1" t="s">
        <v>59</v>
      </c>
      <c r="C36" t="s">
        <v>93</v>
      </c>
      <c r="D36">
        <f>VLOOKUP(A36,Sayfa2!C:D,2,0)</f>
        <v>4.3</v>
      </c>
      <c r="G36" t="s">
        <v>22</v>
      </c>
      <c r="H36">
        <f>VLOOKUP(A36,Sayfa2!A:B,2,0)</f>
        <v>1.73</v>
      </c>
      <c r="I36" t="s">
        <v>23</v>
      </c>
      <c r="J36" t="s">
        <v>24</v>
      </c>
    </row>
    <row r="37" spans="1:10" x14ac:dyDescent="0.25">
      <c r="A37" s="1" t="str">
        <f t="shared" si="0"/>
        <v>OBR-BE-H-322</v>
      </c>
      <c r="B37" s="1" t="s">
        <v>60</v>
      </c>
      <c r="C37" t="s">
        <v>93</v>
      </c>
      <c r="D37">
        <f>VLOOKUP(A37,Sayfa2!C:D,2,0)</f>
        <v>5.86</v>
      </c>
      <c r="G37" t="s">
        <v>22</v>
      </c>
      <c r="H37">
        <f>VLOOKUP(A37,Sayfa2!A:B,2,0)</f>
        <v>2.16</v>
      </c>
      <c r="I37" t="s">
        <v>23</v>
      </c>
      <c r="J37" t="s">
        <v>24</v>
      </c>
    </row>
    <row r="38" spans="1:10" x14ac:dyDescent="0.25">
      <c r="A38" s="1" t="str">
        <f t="shared" si="0"/>
        <v>OBR-BE-H-3124</v>
      </c>
      <c r="B38" s="1" t="s">
        <v>61</v>
      </c>
      <c r="C38" t="s">
        <v>93</v>
      </c>
      <c r="D38">
        <f>VLOOKUP(A38,Sayfa2!C:D,2,0)</f>
        <v>8.75</v>
      </c>
      <c r="G38" t="s">
        <v>22</v>
      </c>
      <c r="H38">
        <f>VLOOKUP(A38,Sayfa2!A:B,2,0)</f>
        <v>2.61</v>
      </c>
      <c r="I38" t="s">
        <v>23</v>
      </c>
      <c r="J38" t="s">
        <v>24</v>
      </c>
    </row>
    <row r="39" spans="1:10" x14ac:dyDescent="0.25">
      <c r="A39" s="1" t="str">
        <f t="shared" si="0"/>
        <v>OBR-BE-H-3126</v>
      </c>
      <c r="B39" s="1" t="s">
        <v>62</v>
      </c>
      <c r="C39" t="s">
        <v>93</v>
      </c>
      <c r="D39">
        <f>VLOOKUP(A39,Sayfa2!C:D,2,0)</f>
        <v>10.6</v>
      </c>
      <c r="G39" t="s">
        <v>22</v>
      </c>
      <c r="H39">
        <f>VLOOKUP(A39,Sayfa2!A:B,2,0)</f>
        <v>3.63</v>
      </c>
      <c r="I39" t="s">
        <v>23</v>
      </c>
      <c r="J39" t="s">
        <v>24</v>
      </c>
    </row>
    <row r="40" spans="1:10" x14ac:dyDescent="0.25">
      <c r="A40" s="1" t="str">
        <f t="shared" si="0"/>
        <v>OBR-BE-H-3128</v>
      </c>
      <c r="B40" s="1" t="s">
        <v>63</v>
      </c>
      <c r="C40" t="s">
        <v>93</v>
      </c>
      <c r="D40">
        <f>VLOOKUP(A40,Sayfa2!C:D,2,0)</f>
        <v>17.8</v>
      </c>
      <c r="G40" t="s">
        <v>22</v>
      </c>
      <c r="H40">
        <f>VLOOKUP(A40,Sayfa2!A:B,2,0)</f>
        <v>4.33</v>
      </c>
      <c r="I40" t="s">
        <v>23</v>
      </c>
      <c r="J40" t="s">
        <v>24</v>
      </c>
    </row>
    <row r="41" spans="1:10" x14ac:dyDescent="0.25">
      <c r="A41" s="1" t="str">
        <f t="shared" si="0"/>
        <v>OBR-BE-H-3130</v>
      </c>
      <c r="B41" s="1" t="s">
        <v>64</v>
      </c>
      <c r="C41" t="s">
        <v>93</v>
      </c>
      <c r="D41">
        <f>VLOOKUP(A41,Sayfa2!C:D,2,0)</f>
        <v>0</v>
      </c>
      <c r="G41" t="s">
        <v>22</v>
      </c>
      <c r="H41">
        <f>VLOOKUP(A41,Sayfa2!A:B,2,0)</f>
        <v>5.49</v>
      </c>
      <c r="I41" t="s">
        <v>23</v>
      </c>
      <c r="J41" t="s">
        <v>24</v>
      </c>
    </row>
    <row r="42" spans="1:10" x14ac:dyDescent="0.25">
      <c r="A42" s="1" t="str">
        <f t="shared" si="0"/>
        <v>OBR-BE-H-3132</v>
      </c>
      <c r="B42" s="1" t="s">
        <v>65</v>
      </c>
      <c r="C42" t="s">
        <v>93</v>
      </c>
      <c r="D42">
        <f>VLOOKUP(A42,Sayfa2!C:D,2,0)</f>
        <v>26.31</v>
      </c>
      <c r="G42" t="s">
        <v>22</v>
      </c>
      <c r="H42">
        <f>VLOOKUP(A42,Sayfa2!A:B,2,0)</f>
        <v>7.57</v>
      </c>
      <c r="I42" t="s">
        <v>23</v>
      </c>
      <c r="J42" t="s">
        <v>24</v>
      </c>
    </row>
    <row r="43" spans="1:10" x14ac:dyDescent="0.25">
      <c r="A43" s="1" t="str">
        <f t="shared" si="0"/>
        <v>OBR-BE-H-2304</v>
      </c>
      <c r="B43" s="1" t="s">
        <v>66</v>
      </c>
      <c r="C43" t="s">
        <v>93</v>
      </c>
      <c r="D43">
        <f>VLOOKUP(A43,Sayfa2!C:D,2,0)</f>
        <v>0.64</v>
      </c>
      <c r="G43" t="s">
        <v>22</v>
      </c>
      <c r="H43">
        <f>VLOOKUP(A43,Sayfa2!A:B,2,0)</f>
        <v>4.7E-2</v>
      </c>
      <c r="I43" t="s">
        <v>23</v>
      </c>
      <c r="J43" t="s">
        <v>24</v>
      </c>
    </row>
    <row r="44" spans="1:10" x14ac:dyDescent="0.25">
      <c r="A44" s="1" t="str">
        <f t="shared" si="0"/>
        <v>OBR-BE-H-2305</v>
      </c>
      <c r="B44" s="1" t="s">
        <v>67</v>
      </c>
      <c r="C44" t="s">
        <v>93</v>
      </c>
      <c r="D44">
        <f>VLOOKUP(A44,Sayfa2!C:D,2,0)</f>
        <v>0.59</v>
      </c>
      <c r="G44" t="s">
        <v>22</v>
      </c>
      <c r="H44">
        <f>VLOOKUP(A44,Sayfa2!A:B,2,0)</f>
        <v>8.6999999999999994E-2</v>
      </c>
      <c r="I44" t="s">
        <v>23</v>
      </c>
      <c r="J44" t="s">
        <v>24</v>
      </c>
    </row>
    <row r="45" spans="1:10" x14ac:dyDescent="0.25">
      <c r="A45" s="1" t="str">
        <f t="shared" si="0"/>
        <v>OBR-BE-H-2306</v>
      </c>
      <c r="B45" s="1" t="s">
        <v>68</v>
      </c>
      <c r="C45" t="s">
        <v>93</v>
      </c>
      <c r="D45">
        <f>VLOOKUP(A45,Sayfa2!C:D,2,0)</f>
        <v>0.61</v>
      </c>
      <c r="G45" t="s">
        <v>22</v>
      </c>
      <c r="H45">
        <f>VLOOKUP(A45,Sayfa2!A:B,2,0)</f>
        <v>0.11700000000000001</v>
      </c>
      <c r="I45" t="s">
        <v>23</v>
      </c>
      <c r="J45" t="s">
        <v>24</v>
      </c>
    </row>
    <row r="46" spans="1:10" x14ac:dyDescent="0.25">
      <c r="A46" s="1" t="str">
        <f t="shared" si="0"/>
        <v>OBR-BE-H-2307</v>
      </c>
      <c r="B46" s="1" t="s">
        <v>69</v>
      </c>
      <c r="C46" t="s">
        <v>93</v>
      </c>
      <c r="D46">
        <f>VLOOKUP(A46,Sayfa2!C:D,2,0)</f>
        <v>0.66</v>
      </c>
      <c r="G46" t="s">
        <v>22</v>
      </c>
      <c r="H46">
        <f>VLOOKUP(A46,Sayfa2!A:B,2,0)</f>
        <v>0.17100000000000001</v>
      </c>
      <c r="I46" t="s">
        <v>23</v>
      </c>
      <c r="J46" t="s">
        <v>24</v>
      </c>
    </row>
    <row r="47" spans="1:10" x14ac:dyDescent="0.25">
      <c r="A47" s="1" t="str">
        <f t="shared" si="0"/>
        <v>OBR-BE-H-2308</v>
      </c>
      <c r="B47" s="1" t="s">
        <v>70</v>
      </c>
      <c r="C47" t="s">
        <v>93</v>
      </c>
      <c r="D47">
        <f>VLOOKUP(A47,Sayfa2!C:D,2,0)</f>
        <v>0.8</v>
      </c>
      <c r="G47" t="s">
        <v>22</v>
      </c>
      <c r="H47">
        <f>VLOOKUP(A47,Sayfa2!A:B,2,0)</f>
        <v>0.222</v>
      </c>
      <c r="I47" t="s">
        <v>23</v>
      </c>
      <c r="J47" t="s">
        <v>24</v>
      </c>
    </row>
    <row r="48" spans="1:10" x14ac:dyDescent="0.25">
      <c r="A48" s="1" t="str">
        <f t="shared" si="0"/>
        <v>OBR-BE-H-2309</v>
      </c>
      <c r="B48" s="1" t="s">
        <v>71</v>
      </c>
      <c r="C48" t="s">
        <v>93</v>
      </c>
      <c r="D48">
        <f>VLOOKUP(A48,Sayfa2!C:D,2,0)</f>
        <v>0.86</v>
      </c>
      <c r="G48" t="s">
        <v>22</v>
      </c>
      <c r="H48">
        <f>VLOOKUP(A48,Sayfa2!A:B,2,0)</f>
        <v>0.28000000000000003</v>
      </c>
      <c r="I48" t="s">
        <v>23</v>
      </c>
      <c r="J48" t="s">
        <v>24</v>
      </c>
    </row>
    <row r="49" spans="1:10" x14ac:dyDescent="0.25">
      <c r="A49" s="1" t="str">
        <f t="shared" si="0"/>
        <v>OBR-BE-H-2310</v>
      </c>
      <c r="B49" s="1" t="s">
        <v>72</v>
      </c>
      <c r="C49" t="s">
        <v>93</v>
      </c>
      <c r="D49">
        <f>VLOOKUP(A49,Sayfa2!C:D,2,0)</f>
        <v>0.98</v>
      </c>
      <c r="G49" t="s">
        <v>22</v>
      </c>
      <c r="H49">
        <f>VLOOKUP(A49,Sayfa2!A:B,2,0)</f>
        <v>0.35299999999999998</v>
      </c>
      <c r="I49" t="s">
        <v>23</v>
      </c>
      <c r="J49" t="s">
        <v>24</v>
      </c>
    </row>
    <row r="50" spans="1:10" x14ac:dyDescent="0.25">
      <c r="A50" s="1" t="str">
        <f t="shared" si="0"/>
        <v>OBR-BE-H-2311</v>
      </c>
      <c r="B50" s="1" t="s">
        <v>73</v>
      </c>
      <c r="C50" t="s">
        <v>93</v>
      </c>
      <c r="D50">
        <f>VLOOKUP(A50,Sayfa2!C:D,2,0)</f>
        <v>1.1499999999999999</v>
      </c>
      <c r="G50" t="s">
        <v>22</v>
      </c>
      <c r="H50">
        <f>VLOOKUP(A50,Sayfa2!A:B,2,0)</f>
        <v>0.42599999999999999</v>
      </c>
      <c r="I50" t="s">
        <v>23</v>
      </c>
      <c r="J50" t="s">
        <v>24</v>
      </c>
    </row>
    <row r="51" spans="1:10" x14ac:dyDescent="0.25">
      <c r="A51" s="1" t="str">
        <f t="shared" si="0"/>
        <v>OBR-BE-H-2312</v>
      </c>
      <c r="B51" s="1" t="s">
        <v>74</v>
      </c>
      <c r="C51" t="s">
        <v>93</v>
      </c>
      <c r="D51">
        <f>VLOOKUP(A51,Sayfa2!C:D,2,0)</f>
        <v>1.39</v>
      </c>
      <c r="G51" t="s">
        <v>22</v>
      </c>
      <c r="H51">
        <f>VLOOKUP(A51,Sayfa2!A:B,2,0)</f>
        <v>0.53300000000000003</v>
      </c>
      <c r="I51" t="s">
        <v>23</v>
      </c>
      <c r="J51" t="s">
        <v>24</v>
      </c>
    </row>
    <row r="52" spans="1:10" x14ac:dyDescent="0.25">
      <c r="A52" s="1" t="str">
        <f t="shared" si="0"/>
        <v>OBR-BE-H-2313</v>
      </c>
      <c r="B52" s="1" t="s">
        <v>75</v>
      </c>
      <c r="C52" t="s">
        <v>93</v>
      </c>
      <c r="D52">
        <f>VLOOKUP(A52,Sayfa2!C:D,2,0)</f>
        <v>1.6</v>
      </c>
      <c r="G52" t="s">
        <v>22</v>
      </c>
      <c r="H52">
        <f>VLOOKUP(A52,Sayfa2!A:B,2,0)</f>
        <v>0.55300000000000005</v>
      </c>
      <c r="I52" t="s">
        <v>23</v>
      </c>
      <c r="J52" t="s">
        <v>24</v>
      </c>
    </row>
    <row r="53" spans="1:10" x14ac:dyDescent="0.25">
      <c r="A53" s="1" t="str">
        <f t="shared" si="0"/>
        <v>OBR-BE-H-2314</v>
      </c>
      <c r="B53" s="1" t="s">
        <v>76</v>
      </c>
      <c r="C53" t="s">
        <v>93</v>
      </c>
      <c r="D53">
        <f>VLOOKUP(A53,Sayfa2!C:D,2,0)</f>
        <v>2.44</v>
      </c>
      <c r="G53" t="s">
        <v>22</v>
      </c>
      <c r="H53">
        <f>VLOOKUP(A53,Sayfa2!A:B,2,0)</f>
        <v>0.89500000000000002</v>
      </c>
      <c r="I53" t="s">
        <v>23</v>
      </c>
      <c r="J53" t="s">
        <v>24</v>
      </c>
    </row>
    <row r="54" spans="1:10" x14ac:dyDescent="0.25">
      <c r="A54" s="1" t="str">
        <f t="shared" si="0"/>
        <v>OBR-BE-H-2315</v>
      </c>
      <c r="B54" s="1" t="s">
        <v>77</v>
      </c>
      <c r="C54" t="s">
        <v>93</v>
      </c>
      <c r="D54">
        <f>VLOOKUP(A54,Sayfa2!C:D,2,0)</f>
        <v>2.73</v>
      </c>
      <c r="G54" t="s">
        <v>22</v>
      </c>
      <c r="H54">
        <f>VLOOKUP(A54,Sayfa2!A:B,2,0)</f>
        <v>1.1599999999999999</v>
      </c>
      <c r="I54" t="s">
        <v>23</v>
      </c>
      <c r="J54" t="s">
        <v>24</v>
      </c>
    </row>
    <row r="55" spans="1:10" x14ac:dyDescent="0.25">
      <c r="A55" s="1" t="str">
        <f t="shared" si="0"/>
        <v>OBR-BE-H-2316</v>
      </c>
      <c r="B55" s="1" t="s">
        <v>78</v>
      </c>
      <c r="C55" t="s">
        <v>93</v>
      </c>
      <c r="D55">
        <f>VLOOKUP(A55,Sayfa2!C:D,2,0)</f>
        <v>3.51</v>
      </c>
      <c r="G55" t="s">
        <v>22</v>
      </c>
      <c r="H55">
        <f>VLOOKUP(A55,Sayfa2!A:B,2,0)</f>
        <v>1.27</v>
      </c>
      <c r="I55" t="s">
        <v>23</v>
      </c>
      <c r="J55" t="s">
        <v>24</v>
      </c>
    </row>
    <row r="56" spans="1:10" x14ac:dyDescent="0.25">
      <c r="A56" s="1" t="str">
        <f t="shared" si="0"/>
        <v>OBR-BE-H-2317</v>
      </c>
      <c r="B56" s="1" t="s">
        <v>79</v>
      </c>
      <c r="C56" t="s">
        <v>93</v>
      </c>
      <c r="D56">
        <f>VLOOKUP(A56,Sayfa2!C:D,2,0)</f>
        <v>3.81</v>
      </c>
      <c r="G56" t="s">
        <v>22</v>
      </c>
      <c r="H56">
        <f>VLOOKUP(A56,Sayfa2!A:B,2,0)</f>
        <v>1.55</v>
      </c>
      <c r="I56" t="s">
        <v>23</v>
      </c>
      <c r="J56" t="s">
        <v>24</v>
      </c>
    </row>
    <row r="57" spans="1:10" x14ac:dyDescent="0.25">
      <c r="A57" s="1" t="str">
        <f t="shared" si="0"/>
        <v>OBR-BE-H-2318</v>
      </c>
      <c r="B57" s="1" t="s">
        <v>80</v>
      </c>
      <c r="C57" t="s">
        <v>93</v>
      </c>
      <c r="D57">
        <f>VLOOKUP(A57,Sayfa2!C:D,2,0)</f>
        <v>4.3</v>
      </c>
      <c r="G57" t="s">
        <v>22</v>
      </c>
      <c r="H57">
        <f>VLOOKUP(A57,Sayfa2!A:B,2,0)</f>
        <v>1.69</v>
      </c>
      <c r="I57" t="s">
        <v>23</v>
      </c>
      <c r="J57" t="s">
        <v>24</v>
      </c>
    </row>
    <row r="58" spans="1:10" x14ac:dyDescent="0.25">
      <c r="A58" s="1" t="str">
        <f t="shared" si="0"/>
        <v>OBR-BE-H-2319</v>
      </c>
      <c r="B58" s="1" t="s">
        <v>81</v>
      </c>
      <c r="C58" t="s">
        <v>93</v>
      </c>
      <c r="D58">
        <f>VLOOKUP(A58,Sayfa2!C:D,2,0)</f>
        <v>4.9800000000000004</v>
      </c>
      <c r="G58" t="s">
        <v>22</v>
      </c>
      <c r="H58">
        <f>VLOOKUP(A58,Sayfa2!A:B,2,0)</f>
        <v>2.06</v>
      </c>
      <c r="I58" t="s">
        <v>23</v>
      </c>
      <c r="J58" t="s">
        <v>24</v>
      </c>
    </row>
    <row r="59" spans="1:10" x14ac:dyDescent="0.25">
      <c r="A59" s="1" t="str">
        <f t="shared" si="0"/>
        <v>OBR-BE-H-2320</v>
      </c>
      <c r="B59" s="1" t="s">
        <v>82</v>
      </c>
      <c r="C59" t="s">
        <v>93</v>
      </c>
      <c r="D59">
        <f>VLOOKUP(A59,Sayfa2!C:D,2,0)</f>
        <v>5.86</v>
      </c>
      <c r="G59" t="s">
        <v>22</v>
      </c>
      <c r="H59">
        <f>VLOOKUP(A59,Sayfa2!A:B,2,0)</f>
        <v>2.17</v>
      </c>
      <c r="I59" t="s">
        <v>23</v>
      </c>
      <c r="J59" t="s">
        <v>24</v>
      </c>
    </row>
    <row r="60" spans="1:10" x14ac:dyDescent="0.25">
      <c r="A60" s="1" t="str">
        <f t="shared" si="0"/>
        <v>OBR-BE-H-2322</v>
      </c>
      <c r="B60" s="1" t="s">
        <v>83</v>
      </c>
      <c r="C60" t="s">
        <v>93</v>
      </c>
      <c r="D60">
        <f>VLOOKUP(A60,Sayfa2!C:D,2,0)</f>
        <v>7.22</v>
      </c>
      <c r="G60" t="s">
        <v>22</v>
      </c>
      <c r="H60">
        <f>VLOOKUP(A60,Sayfa2!A:B,2,0)</f>
        <v>2.74</v>
      </c>
      <c r="I60" t="s">
        <v>23</v>
      </c>
      <c r="J60" t="s">
        <v>24</v>
      </c>
    </row>
    <row r="61" spans="1:10" x14ac:dyDescent="0.25">
      <c r="A61" s="1" t="str">
        <f t="shared" si="0"/>
        <v>OBR-BE-H-2324</v>
      </c>
      <c r="B61" s="1" t="s">
        <v>84</v>
      </c>
      <c r="C61" t="s">
        <v>93</v>
      </c>
      <c r="D61">
        <f>VLOOKUP(A61,Sayfa2!C:D,2,0)</f>
        <v>8.7899999999999991</v>
      </c>
      <c r="G61" t="s">
        <v>22</v>
      </c>
      <c r="H61">
        <f>VLOOKUP(A61,Sayfa2!A:B,2,0)</f>
        <v>3.18</v>
      </c>
      <c r="I61" t="s">
        <v>23</v>
      </c>
      <c r="J61" t="s">
        <v>24</v>
      </c>
    </row>
    <row r="62" spans="1:10" x14ac:dyDescent="0.25">
      <c r="A62" s="1" t="str">
        <f t="shared" si="0"/>
        <v>OBR-BE-H-2326</v>
      </c>
      <c r="B62" s="1" t="s">
        <v>85</v>
      </c>
      <c r="C62" t="s">
        <v>93</v>
      </c>
      <c r="D62">
        <f>VLOOKUP(A62,Sayfa2!C:D,2,0)</f>
        <v>12.89</v>
      </c>
      <c r="G62" t="s">
        <v>22</v>
      </c>
      <c r="H62">
        <f>VLOOKUP(A62,Sayfa2!A:B,2,0)</f>
        <v>4.9000000000000004</v>
      </c>
      <c r="I62" t="s">
        <v>23</v>
      </c>
      <c r="J62" t="s">
        <v>24</v>
      </c>
    </row>
    <row r="63" spans="1:10" x14ac:dyDescent="0.25">
      <c r="A63" s="1" t="str">
        <f t="shared" si="0"/>
        <v>OBR-BE-H-2328</v>
      </c>
      <c r="B63" s="1" t="s">
        <v>86</v>
      </c>
      <c r="C63" t="s">
        <v>93</v>
      </c>
      <c r="D63">
        <f>VLOOKUP(A63,Sayfa2!C:D,2,0)</f>
        <v>14.64</v>
      </c>
      <c r="G63" t="s">
        <v>22</v>
      </c>
      <c r="H63">
        <f>VLOOKUP(A63,Sayfa2!A:B,2,0)</f>
        <v>5.94</v>
      </c>
      <c r="I63" t="s">
        <v>23</v>
      </c>
      <c r="J63" t="s">
        <v>24</v>
      </c>
    </row>
    <row r="64" spans="1:10" x14ac:dyDescent="0.25">
      <c r="A64" s="1" t="str">
        <f t="shared" si="0"/>
        <v>OBR-BE-H-2330</v>
      </c>
      <c r="B64" s="1" t="s">
        <v>87</v>
      </c>
      <c r="C64" t="s">
        <v>93</v>
      </c>
      <c r="D64">
        <f>VLOOKUP(A64,Sayfa2!C:D,2,0)</f>
        <v>18.350000000000001</v>
      </c>
      <c r="G64" t="s">
        <v>22</v>
      </c>
      <c r="H64">
        <f>VLOOKUP(A64,Sayfa2!A:B,2,0)</f>
        <v>6.71</v>
      </c>
      <c r="I64" t="s">
        <v>23</v>
      </c>
      <c r="J64" t="s">
        <v>24</v>
      </c>
    </row>
    <row r="65" spans="1:10" x14ac:dyDescent="0.25">
      <c r="A65" s="1" t="str">
        <f t="shared" si="0"/>
        <v>OBR-BE-H-2332</v>
      </c>
      <c r="B65" s="1" t="s">
        <v>88</v>
      </c>
      <c r="C65" t="s">
        <v>93</v>
      </c>
      <c r="D65">
        <f>VLOOKUP(A65,Sayfa2!C:D,2,0)</f>
        <v>25.38</v>
      </c>
      <c r="G65" t="s">
        <v>22</v>
      </c>
      <c r="H65">
        <f>VLOOKUP(A65,Sayfa2!A:B,2,0)</f>
        <v>9.65</v>
      </c>
      <c r="I65" t="s">
        <v>23</v>
      </c>
      <c r="J65" t="s">
        <v>24</v>
      </c>
    </row>
    <row r="66" spans="1:10" x14ac:dyDescent="0.25">
      <c r="A66" s="1" t="str">
        <f t="shared" si="0"/>
        <v>OBR-BE-H-2334</v>
      </c>
      <c r="B66" s="1" t="s">
        <v>89</v>
      </c>
      <c r="C66" t="s">
        <v>93</v>
      </c>
      <c r="D66">
        <f>VLOOKUP(A66,Sayfa2!C:D,2,0)</f>
        <v>31.43</v>
      </c>
      <c r="G66" t="s">
        <v>22</v>
      </c>
      <c r="H66">
        <f>VLOOKUP(A66,Sayfa2!A:B,2,0)</f>
        <v>10.199999999999999</v>
      </c>
      <c r="I66" t="s">
        <v>23</v>
      </c>
      <c r="J66" t="s">
        <v>24</v>
      </c>
    </row>
    <row r="67" spans="1:10" x14ac:dyDescent="0.25">
      <c r="A67" s="1" t="str">
        <f t="shared" ref="A67:A69" si="1">"OBR-"&amp;SUBSTITUTE(SUBSTITUTE(SUBSTITUTE(B67," ","-"),"R-","BE-"),"-OBR","")</f>
        <v>OBR-BE-H-2336</v>
      </c>
      <c r="B67" s="1" t="s">
        <v>90</v>
      </c>
      <c r="C67" t="s">
        <v>93</v>
      </c>
      <c r="D67">
        <f>VLOOKUP(A67,Sayfa2!C:D,2,0)</f>
        <v>34.75</v>
      </c>
      <c r="G67" t="s">
        <v>22</v>
      </c>
      <c r="H67">
        <f>VLOOKUP(A67,Sayfa2!A:B,2,0)</f>
        <v>12</v>
      </c>
      <c r="I67" t="s">
        <v>23</v>
      </c>
      <c r="J67" t="s">
        <v>24</v>
      </c>
    </row>
    <row r="68" spans="1:10" x14ac:dyDescent="0.25">
      <c r="A68" s="1" t="str">
        <f t="shared" si="1"/>
        <v>OBR-BE-H-2338</v>
      </c>
      <c r="B68" s="1" t="s">
        <v>91</v>
      </c>
      <c r="C68" t="s">
        <v>93</v>
      </c>
      <c r="D68">
        <f>VLOOKUP(A68,Sayfa2!C:D,2,0)</f>
        <v>40.799999999999997</v>
      </c>
      <c r="G68" t="s">
        <v>22</v>
      </c>
      <c r="H68">
        <f>VLOOKUP(A68,Sayfa2!A:B,2,0)</f>
        <v>12.7</v>
      </c>
      <c r="I68" t="s">
        <v>23</v>
      </c>
      <c r="J68" t="s">
        <v>24</v>
      </c>
    </row>
    <row r="69" spans="1:10" x14ac:dyDescent="0.25">
      <c r="A69" s="1" t="str">
        <f t="shared" si="1"/>
        <v>OBR-BE-H-2340</v>
      </c>
      <c r="B69" s="1" t="s">
        <v>92</v>
      </c>
      <c r="C69" t="s">
        <v>93</v>
      </c>
      <c r="D69">
        <f>VLOOKUP(A69,Sayfa2!C:D,2,0)</f>
        <v>50.37</v>
      </c>
      <c r="G69" t="s">
        <v>22</v>
      </c>
      <c r="H69">
        <f>VLOOKUP(A69,Sayfa2!A:B,2,0)</f>
        <v>14</v>
      </c>
      <c r="I69" t="s">
        <v>23</v>
      </c>
      <c r="J69" t="s">
        <v>24</v>
      </c>
    </row>
    <row r="70" spans="1:10" x14ac:dyDescent="0.25">
      <c r="A70" s="1" t="str">
        <f>"OBR-"&amp;SUBSTITUTE(SUBSTITUTE(SUBSTITUTE(TRIM(B70)," ","-"),"R-","BE-"),"-OBR","")</f>
        <v>OBR-BE-SN-505</v>
      </c>
      <c r="B70" s="1" t="s">
        <v>164</v>
      </c>
      <c r="C70" t="s">
        <v>448</v>
      </c>
      <c r="D70">
        <f>VLOOKUP(A70,Sayfa2!C:D,2,0)</f>
        <v>3.21</v>
      </c>
      <c r="G70" t="s">
        <v>22</v>
      </c>
      <c r="H70">
        <f>VLOOKUP(A70,Sayfa2!A:B,2,0)</f>
        <v>0</v>
      </c>
      <c r="I70" t="s">
        <v>23</v>
      </c>
      <c r="J70" t="s">
        <v>24</v>
      </c>
    </row>
    <row r="71" spans="1:10" x14ac:dyDescent="0.25">
      <c r="A71" s="1" t="str">
        <f t="shared" ref="A71:A106" si="2">"OBR-"&amp;SUBSTITUTE(SUBSTITUTE(SUBSTITUTE(TRIM(B71)," ","-"),"R-","BE-"),"-OBR","")</f>
        <v>OBR-BE-SN-506</v>
      </c>
      <c r="B71" s="1" t="s">
        <v>165</v>
      </c>
      <c r="C71" t="s">
        <v>448</v>
      </c>
      <c r="D71">
        <f>VLOOKUP(A71,Sayfa2!C:D,2,0)</f>
        <v>3.21</v>
      </c>
      <c r="G71" t="s">
        <v>22</v>
      </c>
      <c r="H71">
        <f>VLOOKUP(A71,Sayfa2!A:B,2,0)</f>
        <v>0</v>
      </c>
      <c r="I71" t="s">
        <v>23</v>
      </c>
      <c r="J71" t="s">
        <v>24</v>
      </c>
    </row>
    <row r="72" spans="1:10" x14ac:dyDescent="0.25">
      <c r="A72" s="1" t="str">
        <f t="shared" si="2"/>
        <v>OBR-BE-SN-507</v>
      </c>
      <c r="B72" s="1" t="s">
        <v>166</v>
      </c>
      <c r="C72" t="s">
        <v>448</v>
      </c>
      <c r="D72">
        <f>VLOOKUP(A72,Sayfa2!C:D,2,0)</f>
        <v>3.57</v>
      </c>
      <c r="G72" t="s">
        <v>22</v>
      </c>
      <c r="H72">
        <f>VLOOKUP(A72,Sayfa2!A:B,2,0)</f>
        <v>0</v>
      </c>
      <c r="I72" t="s">
        <v>23</v>
      </c>
      <c r="J72" t="s">
        <v>24</v>
      </c>
    </row>
    <row r="73" spans="1:10" x14ac:dyDescent="0.25">
      <c r="A73" s="1" t="str">
        <f t="shared" si="2"/>
        <v>OBR-BE-SN-508</v>
      </c>
      <c r="B73" s="1" t="s">
        <v>167</v>
      </c>
      <c r="C73" t="s">
        <v>448</v>
      </c>
      <c r="D73">
        <f>VLOOKUP(A73,Sayfa2!C:D,2,0)</f>
        <v>4.0199999999999996</v>
      </c>
      <c r="G73" t="s">
        <v>22</v>
      </c>
      <c r="H73">
        <f>VLOOKUP(A73,Sayfa2!A:B,2,0)</f>
        <v>0</v>
      </c>
      <c r="I73" t="s">
        <v>23</v>
      </c>
      <c r="J73" t="s">
        <v>24</v>
      </c>
    </row>
    <row r="74" spans="1:10" x14ac:dyDescent="0.25">
      <c r="A74" s="1" t="str">
        <f t="shared" si="2"/>
        <v>OBR-BE-SN-509</v>
      </c>
      <c r="B74" s="1" t="s">
        <v>168</v>
      </c>
      <c r="C74" t="s">
        <v>448</v>
      </c>
      <c r="D74">
        <f>VLOOKUP(A74,Sayfa2!C:D,2,0)</f>
        <v>4.2</v>
      </c>
      <c r="G74" t="s">
        <v>22</v>
      </c>
      <c r="H74">
        <f>VLOOKUP(A74,Sayfa2!A:B,2,0)</f>
        <v>0</v>
      </c>
      <c r="I74" t="s">
        <v>23</v>
      </c>
      <c r="J74" t="s">
        <v>24</v>
      </c>
    </row>
    <row r="75" spans="1:10" x14ac:dyDescent="0.25">
      <c r="A75" s="1" t="str">
        <f t="shared" si="2"/>
        <v>OBR-BE-SN-510</v>
      </c>
      <c r="B75" s="1" t="s">
        <v>169</v>
      </c>
      <c r="C75" t="s">
        <v>448</v>
      </c>
      <c r="D75">
        <f>VLOOKUP(A75,Sayfa2!C:D,2,0)</f>
        <v>4.55</v>
      </c>
      <c r="G75" t="s">
        <v>22</v>
      </c>
      <c r="H75">
        <f>VLOOKUP(A75,Sayfa2!A:B,2,0)</f>
        <v>0</v>
      </c>
      <c r="I75" t="s">
        <v>23</v>
      </c>
      <c r="J75" t="s">
        <v>24</v>
      </c>
    </row>
    <row r="76" spans="1:10" x14ac:dyDescent="0.25">
      <c r="A76" s="1" t="str">
        <f t="shared" si="2"/>
        <v>OBR-BE-SN-511</v>
      </c>
      <c r="B76" s="1" t="s">
        <v>170</v>
      </c>
      <c r="C76" t="s">
        <v>448</v>
      </c>
      <c r="D76">
        <f>VLOOKUP(A76,Sayfa2!C:D,2,0)</f>
        <v>5.36</v>
      </c>
      <c r="G76" t="s">
        <v>22</v>
      </c>
      <c r="H76">
        <f>VLOOKUP(A76,Sayfa2!A:B,2,0)</f>
        <v>0</v>
      </c>
      <c r="I76" t="s">
        <v>23</v>
      </c>
      <c r="J76" t="s">
        <v>24</v>
      </c>
    </row>
    <row r="77" spans="1:10" x14ac:dyDescent="0.25">
      <c r="A77" s="1" t="str">
        <f t="shared" si="2"/>
        <v>OBR-BE-SN-512</v>
      </c>
      <c r="B77" s="1" t="s">
        <v>171</v>
      </c>
      <c r="C77" t="s">
        <v>448</v>
      </c>
      <c r="D77">
        <f>VLOOKUP(A77,Sayfa2!C:D,2,0)</f>
        <v>5.89</v>
      </c>
      <c r="G77" t="s">
        <v>22</v>
      </c>
      <c r="H77">
        <f>VLOOKUP(A77,Sayfa2!A:B,2,0)</f>
        <v>0</v>
      </c>
      <c r="I77" t="s">
        <v>23</v>
      </c>
      <c r="J77" t="s">
        <v>24</v>
      </c>
    </row>
    <row r="78" spans="1:10" x14ac:dyDescent="0.25">
      <c r="A78" s="1" t="str">
        <f t="shared" si="2"/>
        <v>OBR-BE-SN-513</v>
      </c>
      <c r="B78" s="1" t="s">
        <v>172</v>
      </c>
      <c r="C78" t="s">
        <v>448</v>
      </c>
      <c r="D78">
        <f>VLOOKUP(A78,Sayfa2!C:D,2,0)</f>
        <v>7.5</v>
      </c>
      <c r="G78" t="s">
        <v>22</v>
      </c>
      <c r="H78">
        <f>VLOOKUP(A78,Sayfa2!A:B,2,0)</f>
        <v>0</v>
      </c>
      <c r="I78" t="s">
        <v>23</v>
      </c>
      <c r="J78" t="s">
        <v>24</v>
      </c>
    </row>
    <row r="79" spans="1:10" x14ac:dyDescent="0.25">
      <c r="A79" s="1" t="str">
        <f t="shared" si="2"/>
        <v>OBR-BE-SN-514</v>
      </c>
      <c r="B79" s="1" t="s">
        <v>173</v>
      </c>
      <c r="C79" t="s">
        <v>448</v>
      </c>
      <c r="D79">
        <f>VLOOKUP(A79,Sayfa2!C:D,2,0)</f>
        <v>8.57</v>
      </c>
      <c r="G79" t="s">
        <v>22</v>
      </c>
      <c r="H79">
        <f>VLOOKUP(A79,Sayfa2!A:B,2,0)</f>
        <v>0</v>
      </c>
      <c r="I79" t="s">
        <v>23</v>
      </c>
      <c r="J79" t="s">
        <v>24</v>
      </c>
    </row>
    <row r="80" spans="1:10" x14ac:dyDescent="0.25">
      <c r="A80" s="1" t="str">
        <f t="shared" si="2"/>
        <v>OBR-BE-SN-515</v>
      </c>
      <c r="B80" s="1" t="s">
        <v>174</v>
      </c>
      <c r="C80" t="s">
        <v>448</v>
      </c>
      <c r="D80">
        <f>VLOOKUP(A80,Sayfa2!C:D,2,0)</f>
        <v>8.57</v>
      </c>
      <c r="G80" t="s">
        <v>22</v>
      </c>
      <c r="H80">
        <f>VLOOKUP(A80,Sayfa2!A:B,2,0)</f>
        <v>0</v>
      </c>
      <c r="I80" t="s">
        <v>23</v>
      </c>
      <c r="J80" t="s">
        <v>24</v>
      </c>
    </row>
    <row r="81" spans="1:10" x14ac:dyDescent="0.25">
      <c r="A81" s="1" t="str">
        <f t="shared" si="2"/>
        <v>OBR-BE-SN-516</v>
      </c>
      <c r="B81" s="1" t="s">
        <v>175</v>
      </c>
      <c r="C81" t="s">
        <v>448</v>
      </c>
      <c r="D81">
        <f>VLOOKUP(A81,Sayfa2!C:D,2,0)</f>
        <v>10</v>
      </c>
      <c r="G81" t="s">
        <v>22</v>
      </c>
      <c r="H81">
        <f>VLOOKUP(A81,Sayfa2!A:B,2,0)</f>
        <v>0</v>
      </c>
      <c r="I81" t="s">
        <v>23</v>
      </c>
      <c r="J81" t="s">
        <v>24</v>
      </c>
    </row>
    <row r="82" spans="1:10" x14ac:dyDescent="0.25">
      <c r="A82" s="1" t="str">
        <f t="shared" si="2"/>
        <v>OBR-BE-SN-517</v>
      </c>
      <c r="B82" s="1" t="s">
        <v>176</v>
      </c>
      <c r="C82" t="s">
        <v>448</v>
      </c>
      <c r="D82">
        <f>VLOOKUP(A82,Sayfa2!C:D,2,0)</f>
        <v>11.25</v>
      </c>
      <c r="G82" t="s">
        <v>22</v>
      </c>
      <c r="H82">
        <f>VLOOKUP(A82,Sayfa2!A:B,2,0)</f>
        <v>0</v>
      </c>
      <c r="I82" t="s">
        <v>23</v>
      </c>
      <c r="J82" t="s">
        <v>24</v>
      </c>
    </row>
    <row r="83" spans="1:10" x14ac:dyDescent="0.25">
      <c r="A83" s="1" t="str">
        <f t="shared" si="2"/>
        <v>OBR-BE-SN-518</v>
      </c>
      <c r="B83" s="1" t="s">
        <v>177</v>
      </c>
      <c r="C83" t="s">
        <v>448</v>
      </c>
      <c r="D83">
        <f>VLOOKUP(A83,Sayfa2!C:D,2,0)</f>
        <v>13.93</v>
      </c>
      <c r="G83" t="s">
        <v>22</v>
      </c>
      <c r="H83">
        <f>VLOOKUP(A83,Sayfa2!A:B,2,0)</f>
        <v>0</v>
      </c>
      <c r="I83" t="s">
        <v>23</v>
      </c>
      <c r="J83" t="s">
        <v>24</v>
      </c>
    </row>
    <row r="84" spans="1:10" x14ac:dyDescent="0.25">
      <c r="A84" s="1" t="str">
        <f t="shared" si="2"/>
        <v>OBR-BE-SN-519</v>
      </c>
      <c r="B84" s="1" t="s">
        <v>178</v>
      </c>
      <c r="C84" t="s">
        <v>448</v>
      </c>
      <c r="D84">
        <f>VLOOKUP(A84,Sayfa2!C:D,2,0)</f>
        <v>16.96</v>
      </c>
      <c r="G84" t="s">
        <v>22</v>
      </c>
      <c r="H84">
        <f>VLOOKUP(A84,Sayfa2!A:B,2,0)</f>
        <v>0</v>
      </c>
      <c r="I84" t="s">
        <v>23</v>
      </c>
      <c r="J84" t="s">
        <v>24</v>
      </c>
    </row>
    <row r="85" spans="1:10" x14ac:dyDescent="0.25">
      <c r="A85" s="1" t="str">
        <f t="shared" si="2"/>
        <v>OBR-BE-SN-520</v>
      </c>
      <c r="B85" s="1" t="s">
        <v>179</v>
      </c>
      <c r="C85" t="s">
        <v>448</v>
      </c>
      <c r="D85">
        <f>VLOOKUP(A85,Sayfa2!C:D,2,0)</f>
        <v>17.86</v>
      </c>
      <c r="G85" t="s">
        <v>22</v>
      </c>
      <c r="H85">
        <f>VLOOKUP(A85,Sayfa2!A:B,2,0)</f>
        <v>0</v>
      </c>
      <c r="I85" t="s">
        <v>23</v>
      </c>
      <c r="J85" t="s">
        <v>24</v>
      </c>
    </row>
    <row r="86" spans="1:10" x14ac:dyDescent="0.25">
      <c r="A86" s="1" t="str">
        <f t="shared" si="2"/>
        <v>OBR-BE-SN-522</v>
      </c>
      <c r="B86" s="1" t="s">
        <v>180</v>
      </c>
      <c r="C86" t="s">
        <v>448</v>
      </c>
      <c r="D86">
        <f>VLOOKUP(A86,Sayfa2!C:D,2,0)</f>
        <v>24.11</v>
      </c>
      <c r="G86" t="s">
        <v>22</v>
      </c>
      <c r="H86">
        <f>VLOOKUP(A86,Sayfa2!A:B,2,0)</f>
        <v>0</v>
      </c>
      <c r="I86" t="s">
        <v>23</v>
      </c>
      <c r="J86" t="s">
        <v>24</v>
      </c>
    </row>
    <row r="87" spans="1:10" x14ac:dyDescent="0.25">
      <c r="A87" s="1" t="str">
        <f t="shared" si="2"/>
        <v>OBR-BE-SN-524</v>
      </c>
      <c r="B87" s="1" t="s">
        <v>181</v>
      </c>
      <c r="C87" t="s">
        <v>448</v>
      </c>
      <c r="D87">
        <f>VLOOKUP(A87,Sayfa2!C:D,2,0)</f>
        <v>27.68</v>
      </c>
      <c r="G87" t="s">
        <v>22</v>
      </c>
      <c r="H87">
        <f>VLOOKUP(A87,Sayfa2!A:B,2,0)</f>
        <v>0</v>
      </c>
      <c r="I87" t="s">
        <v>23</v>
      </c>
      <c r="J87" t="s">
        <v>24</v>
      </c>
    </row>
    <row r="88" spans="1:10" x14ac:dyDescent="0.25">
      <c r="A88" s="1" t="str">
        <f t="shared" si="2"/>
        <v>OBR-BE-SN-526</v>
      </c>
      <c r="B88" s="1" t="s">
        <v>182</v>
      </c>
      <c r="C88" t="s">
        <v>448</v>
      </c>
      <c r="D88">
        <f>VLOOKUP(A88,Sayfa2!C:D,2,0)</f>
        <v>31.25</v>
      </c>
      <c r="G88" t="s">
        <v>22</v>
      </c>
      <c r="H88">
        <f>VLOOKUP(A88,Sayfa2!A:B,2,0)</f>
        <v>0</v>
      </c>
      <c r="I88" t="s">
        <v>23</v>
      </c>
      <c r="J88" t="s">
        <v>24</v>
      </c>
    </row>
    <row r="89" spans="1:10" x14ac:dyDescent="0.25">
      <c r="A89" s="1" t="str">
        <f t="shared" si="2"/>
        <v>OBR-BE-SNH-506</v>
      </c>
      <c r="B89" s="1" t="s">
        <v>183</v>
      </c>
      <c r="C89" t="s">
        <v>448</v>
      </c>
      <c r="D89">
        <f>VLOOKUP(A89,Sayfa2!C:D,2,0)</f>
        <v>6.61</v>
      </c>
      <c r="G89" t="s">
        <v>22</v>
      </c>
      <c r="H89">
        <f>VLOOKUP(A89,Sayfa2!A:B,2,0)</f>
        <v>0</v>
      </c>
      <c r="I89" t="s">
        <v>23</v>
      </c>
      <c r="J89" t="s">
        <v>24</v>
      </c>
    </row>
    <row r="90" spans="1:10" x14ac:dyDescent="0.25">
      <c r="A90" s="1" t="str">
        <f t="shared" si="2"/>
        <v>OBR-BE-SNH-507</v>
      </c>
      <c r="B90" s="1" t="s">
        <v>184</v>
      </c>
      <c r="C90" t="s">
        <v>448</v>
      </c>
      <c r="D90">
        <f>VLOOKUP(A90,Sayfa2!C:D,2,0)</f>
        <v>7.14</v>
      </c>
      <c r="G90" t="s">
        <v>22</v>
      </c>
      <c r="H90">
        <f>VLOOKUP(A90,Sayfa2!A:B,2,0)</f>
        <v>0</v>
      </c>
      <c r="I90" t="s">
        <v>23</v>
      </c>
      <c r="J90" t="s">
        <v>24</v>
      </c>
    </row>
    <row r="91" spans="1:10" x14ac:dyDescent="0.25">
      <c r="A91" s="1" t="str">
        <f t="shared" si="2"/>
        <v>OBR-BE-SNH-508</v>
      </c>
      <c r="B91" s="1" t="s">
        <v>185</v>
      </c>
      <c r="C91" t="s">
        <v>448</v>
      </c>
      <c r="D91">
        <f>VLOOKUP(A91,Sayfa2!C:D,2,0)</f>
        <v>7.5</v>
      </c>
      <c r="G91" t="s">
        <v>22</v>
      </c>
      <c r="H91">
        <f>VLOOKUP(A91,Sayfa2!A:B,2,0)</f>
        <v>0</v>
      </c>
      <c r="I91" t="s">
        <v>23</v>
      </c>
      <c r="J91" t="s">
        <v>24</v>
      </c>
    </row>
    <row r="92" spans="1:10" x14ac:dyDescent="0.25">
      <c r="A92" s="1" t="str">
        <f t="shared" si="2"/>
        <v>OBR-BE-SNH-509</v>
      </c>
      <c r="B92" s="1" t="s">
        <v>186</v>
      </c>
      <c r="C92" t="s">
        <v>448</v>
      </c>
      <c r="D92">
        <f>VLOOKUP(A92,Sayfa2!C:D,2,0)</f>
        <v>7.68</v>
      </c>
      <c r="G92" t="s">
        <v>22</v>
      </c>
      <c r="H92">
        <f>VLOOKUP(A92,Sayfa2!A:B,2,0)</f>
        <v>0</v>
      </c>
      <c r="I92" t="s">
        <v>23</v>
      </c>
      <c r="J92" t="s">
        <v>24</v>
      </c>
    </row>
    <row r="93" spans="1:10" x14ac:dyDescent="0.25">
      <c r="A93" s="1" t="str">
        <f t="shared" si="2"/>
        <v>OBR-BE-SNH-510</v>
      </c>
      <c r="B93" s="1" t="s">
        <v>187</v>
      </c>
      <c r="C93" t="s">
        <v>448</v>
      </c>
      <c r="D93">
        <f>VLOOKUP(A93,Sayfa2!C:D,2,0)</f>
        <v>8.39</v>
      </c>
      <c r="G93" t="s">
        <v>22</v>
      </c>
      <c r="H93">
        <f>VLOOKUP(A93,Sayfa2!A:B,2,0)</f>
        <v>0</v>
      </c>
      <c r="I93" t="s">
        <v>23</v>
      </c>
      <c r="J93" t="s">
        <v>24</v>
      </c>
    </row>
    <row r="94" spans="1:10" x14ac:dyDescent="0.25">
      <c r="A94" s="1" t="str">
        <f t="shared" si="2"/>
        <v>OBR-BE-SNH-511</v>
      </c>
      <c r="B94" s="1" t="s">
        <v>188</v>
      </c>
      <c r="C94" t="s">
        <v>448</v>
      </c>
      <c r="D94">
        <f>VLOOKUP(A94,Sayfa2!C:D,2,0)</f>
        <v>10</v>
      </c>
      <c r="G94" t="s">
        <v>22</v>
      </c>
      <c r="H94">
        <f>VLOOKUP(A94,Sayfa2!A:B,2,0)</f>
        <v>0</v>
      </c>
      <c r="I94" t="s">
        <v>23</v>
      </c>
      <c r="J94" t="s">
        <v>24</v>
      </c>
    </row>
    <row r="95" spans="1:10" x14ac:dyDescent="0.25">
      <c r="A95" s="1" t="str">
        <f t="shared" si="2"/>
        <v>OBR-BE-SNH-512</v>
      </c>
      <c r="B95" s="1" t="s">
        <v>189</v>
      </c>
      <c r="C95" t="s">
        <v>448</v>
      </c>
      <c r="D95">
        <f>VLOOKUP(A95,Sayfa2!C:D,2,0)</f>
        <v>10.71</v>
      </c>
      <c r="G95" t="s">
        <v>22</v>
      </c>
      <c r="H95">
        <f>VLOOKUP(A95,Sayfa2!A:B,2,0)</f>
        <v>0</v>
      </c>
      <c r="I95" t="s">
        <v>23</v>
      </c>
      <c r="J95" t="s">
        <v>24</v>
      </c>
    </row>
    <row r="96" spans="1:10" x14ac:dyDescent="0.25">
      <c r="A96" s="1" t="str">
        <f t="shared" si="2"/>
        <v>OBR-BE-SNH-513</v>
      </c>
      <c r="B96" s="1" t="s">
        <v>190</v>
      </c>
      <c r="C96" t="s">
        <v>448</v>
      </c>
      <c r="D96">
        <f>VLOOKUP(A96,Sayfa2!C:D,2,0)</f>
        <v>13.39</v>
      </c>
      <c r="G96" t="s">
        <v>22</v>
      </c>
      <c r="H96">
        <f>VLOOKUP(A96,Sayfa2!A:B,2,0)</f>
        <v>0</v>
      </c>
      <c r="I96" t="s">
        <v>23</v>
      </c>
      <c r="J96" t="s">
        <v>24</v>
      </c>
    </row>
    <row r="97" spans="1:10" x14ac:dyDescent="0.25">
      <c r="A97" s="1" t="str">
        <f t="shared" si="2"/>
        <v>OBR-BE-SNH-514</v>
      </c>
      <c r="B97" s="1" t="s">
        <v>191</v>
      </c>
      <c r="C97" t="s">
        <v>448</v>
      </c>
      <c r="D97">
        <f>VLOOKUP(A97,Sayfa2!C:D,2,0)</f>
        <v>13.93</v>
      </c>
      <c r="G97" t="s">
        <v>22</v>
      </c>
      <c r="H97">
        <f>VLOOKUP(A97,Sayfa2!A:B,2,0)</f>
        <v>0</v>
      </c>
      <c r="I97" t="s">
        <v>23</v>
      </c>
      <c r="J97" t="s">
        <v>24</v>
      </c>
    </row>
    <row r="98" spans="1:10" x14ac:dyDescent="0.25">
      <c r="A98" s="1" t="str">
        <f t="shared" si="2"/>
        <v>OBR-BE-SNH-515</v>
      </c>
      <c r="B98" s="1" t="s">
        <v>192</v>
      </c>
      <c r="C98" t="s">
        <v>448</v>
      </c>
      <c r="D98">
        <f>VLOOKUP(A98,Sayfa2!C:D,2,0)</f>
        <v>13.93</v>
      </c>
      <c r="G98" t="s">
        <v>22</v>
      </c>
      <c r="H98">
        <f>VLOOKUP(A98,Sayfa2!A:B,2,0)</f>
        <v>0</v>
      </c>
      <c r="I98" t="s">
        <v>23</v>
      </c>
      <c r="J98" t="s">
        <v>24</v>
      </c>
    </row>
    <row r="99" spans="1:10" x14ac:dyDescent="0.25">
      <c r="A99" s="1" t="str">
        <f t="shared" si="2"/>
        <v>OBR-BE-SNH-516</v>
      </c>
      <c r="B99" s="1" t="s">
        <v>193</v>
      </c>
      <c r="C99" t="s">
        <v>448</v>
      </c>
      <c r="D99">
        <f>VLOOKUP(A99,Sayfa2!C:D,2,0)</f>
        <v>18.75</v>
      </c>
      <c r="G99" t="s">
        <v>22</v>
      </c>
      <c r="H99">
        <f>VLOOKUP(A99,Sayfa2!A:B,2,0)</f>
        <v>0</v>
      </c>
      <c r="I99" t="s">
        <v>23</v>
      </c>
      <c r="J99" t="s">
        <v>24</v>
      </c>
    </row>
    <row r="100" spans="1:10" x14ac:dyDescent="0.25">
      <c r="A100" s="1" t="str">
        <f t="shared" si="2"/>
        <v>OBR-BE-SNH-517</v>
      </c>
      <c r="B100" s="1" t="s">
        <v>194</v>
      </c>
      <c r="C100" t="s">
        <v>448</v>
      </c>
      <c r="D100">
        <f>VLOOKUP(A100,Sayfa2!C:D,2,0)</f>
        <v>20.54</v>
      </c>
      <c r="G100" t="s">
        <v>22</v>
      </c>
      <c r="H100">
        <f>VLOOKUP(A100,Sayfa2!A:B,2,0)</f>
        <v>0</v>
      </c>
      <c r="I100" t="s">
        <v>23</v>
      </c>
      <c r="J100" t="s">
        <v>24</v>
      </c>
    </row>
    <row r="101" spans="1:10" x14ac:dyDescent="0.25">
      <c r="A101" s="1" t="str">
        <f t="shared" si="2"/>
        <v>OBR-BE-SNH-518</v>
      </c>
      <c r="B101" s="1" t="s">
        <v>195</v>
      </c>
      <c r="C101" t="s">
        <v>448</v>
      </c>
      <c r="D101">
        <f>VLOOKUP(A101,Sayfa2!C:D,2,0)</f>
        <v>24.11</v>
      </c>
      <c r="G101" t="s">
        <v>22</v>
      </c>
      <c r="H101">
        <f>VLOOKUP(A101,Sayfa2!A:B,2,0)</f>
        <v>0</v>
      </c>
      <c r="I101" t="s">
        <v>23</v>
      </c>
      <c r="J101" t="s">
        <v>24</v>
      </c>
    </row>
    <row r="102" spans="1:10" x14ac:dyDescent="0.25">
      <c r="A102" s="1" t="str">
        <f t="shared" si="2"/>
        <v>OBR-BE-SNH-519</v>
      </c>
      <c r="B102" s="1" t="s">
        <v>196</v>
      </c>
      <c r="C102" t="s">
        <v>448</v>
      </c>
      <c r="D102">
        <f>VLOOKUP(A102,Sayfa2!C:D,2,0)</f>
        <v>26.79</v>
      </c>
      <c r="G102" t="s">
        <v>22</v>
      </c>
      <c r="H102">
        <f>VLOOKUP(A102,Sayfa2!A:B,2,0)</f>
        <v>0</v>
      </c>
      <c r="I102" t="s">
        <v>23</v>
      </c>
      <c r="J102" t="s">
        <v>24</v>
      </c>
    </row>
    <row r="103" spans="1:10" x14ac:dyDescent="0.25">
      <c r="A103" s="1" t="str">
        <f t="shared" si="2"/>
        <v>OBR-BE-SNH-520</v>
      </c>
      <c r="B103" s="1" t="s">
        <v>197</v>
      </c>
      <c r="C103" t="s">
        <v>448</v>
      </c>
      <c r="D103">
        <f>VLOOKUP(A103,Sayfa2!C:D,2,0)</f>
        <v>30.36</v>
      </c>
      <c r="G103" t="s">
        <v>22</v>
      </c>
      <c r="H103">
        <f>VLOOKUP(A103,Sayfa2!A:B,2,0)</f>
        <v>0</v>
      </c>
      <c r="I103" t="s">
        <v>23</v>
      </c>
      <c r="J103" t="s">
        <v>24</v>
      </c>
    </row>
    <row r="104" spans="1:10" x14ac:dyDescent="0.25">
      <c r="A104" s="1" t="str">
        <f t="shared" si="2"/>
        <v>OBR-BE-SNH-522</v>
      </c>
      <c r="B104" s="1" t="s">
        <v>198</v>
      </c>
      <c r="C104" t="s">
        <v>448</v>
      </c>
      <c r="D104">
        <f>VLOOKUP(A104,Sayfa2!C:D,2,0)</f>
        <v>39.29</v>
      </c>
      <c r="G104" t="s">
        <v>22</v>
      </c>
      <c r="H104">
        <f>VLOOKUP(A104,Sayfa2!A:B,2,0)</f>
        <v>0</v>
      </c>
      <c r="I104" t="s">
        <v>23</v>
      </c>
      <c r="J104" t="s">
        <v>24</v>
      </c>
    </row>
    <row r="105" spans="1:10" x14ac:dyDescent="0.25">
      <c r="A105" s="1" t="str">
        <f t="shared" si="2"/>
        <v>OBR-BE-SNH-524</v>
      </c>
      <c r="B105" s="1" t="s">
        <v>199</v>
      </c>
      <c r="C105" t="s">
        <v>448</v>
      </c>
      <c r="D105">
        <f>VLOOKUP(A105,Sayfa2!C:D,2,0)</f>
        <v>46.43</v>
      </c>
      <c r="G105" t="s">
        <v>22</v>
      </c>
      <c r="H105">
        <f>VLOOKUP(A105,Sayfa2!A:B,2,0)</f>
        <v>0</v>
      </c>
      <c r="I105" t="s">
        <v>23</v>
      </c>
      <c r="J105" t="s">
        <v>24</v>
      </c>
    </row>
    <row r="106" spans="1:10" x14ac:dyDescent="0.25">
      <c r="A106" s="1" t="str">
        <f t="shared" si="2"/>
        <v>OBR-BE-SNH-526</v>
      </c>
      <c r="B106" s="1" t="s">
        <v>200</v>
      </c>
      <c r="C106" t="s">
        <v>448</v>
      </c>
      <c r="D106">
        <f>VLOOKUP(A106,Sayfa2!C:D,2,0)</f>
        <v>51.79</v>
      </c>
      <c r="G106" t="s">
        <v>22</v>
      </c>
      <c r="H106">
        <f>VLOOKUP(A106,Sayfa2!A:B,2,0)</f>
        <v>0</v>
      </c>
      <c r="I106" t="s">
        <v>23</v>
      </c>
      <c r="J106" t="s">
        <v>24</v>
      </c>
    </row>
    <row r="107" spans="1:10" x14ac:dyDescent="0.25">
      <c r="A107" s="4" t="s">
        <v>201</v>
      </c>
      <c r="B107" s="1" t="s">
        <v>320</v>
      </c>
      <c r="C107" t="s">
        <v>449</v>
      </c>
      <c r="D107">
        <f>VLOOKUP(A107,Sayfa2!C:D,2,0)</f>
        <v>1.35</v>
      </c>
      <c r="G107" t="s">
        <v>22</v>
      </c>
      <c r="H107">
        <f>VLOOKUP(A107,Sayfa2!A:B,2,0)</f>
        <v>0.48</v>
      </c>
      <c r="I107" t="s">
        <v>23</v>
      </c>
      <c r="J107" t="s">
        <v>24</v>
      </c>
    </row>
    <row r="108" spans="1:10" x14ac:dyDescent="0.25">
      <c r="A108" s="4" t="s">
        <v>202</v>
      </c>
      <c r="B108" s="1" t="s">
        <v>321</v>
      </c>
      <c r="C108" t="s">
        <v>449</v>
      </c>
      <c r="D108">
        <f>VLOOKUP(A108,Sayfa2!C:D,2,0)</f>
        <v>1.52</v>
      </c>
      <c r="G108" t="s">
        <v>22</v>
      </c>
      <c r="H108">
        <f>VLOOKUP(A108,Sayfa2!A:B,2,0)</f>
        <v>0.48</v>
      </c>
      <c r="I108" t="s">
        <v>23</v>
      </c>
      <c r="J108" t="s">
        <v>24</v>
      </c>
    </row>
    <row r="109" spans="1:10" x14ac:dyDescent="0.25">
      <c r="A109" s="4" t="s">
        <v>203</v>
      </c>
      <c r="B109" s="1" t="s">
        <v>322</v>
      </c>
      <c r="C109" t="s">
        <v>449</v>
      </c>
      <c r="D109">
        <f>VLOOKUP(A109,Sayfa2!C:D,2,0)</f>
        <v>1.52</v>
      </c>
      <c r="G109" t="s">
        <v>22</v>
      </c>
      <c r="H109">
        <f>VLOOKUP(A109,Sayfa2!A:B,2,0)</f>
        <v>0.48</v>
      </c>
      <c r="I109" t="s">
        <v>23</v>
      </c>
      <c r="J109" t="s">
        <v>24</v>
      </c>
    </row>
    <row r="110" spans="1:10" x14ac:dyDescent="0.25">
      <c r="A110" s="4" t="s">
        <v>204</v>
      </c>
      <c r="B110" s="1" t="s">
        <v>323</v>
      </c>
      <c r="C110" t="s">
        <v>449</v>
      </c>
      <c r="D110">
        <f>VLOOKUP(A110,Sayfa2!C:D,2,0)</f>
        <v>1.35</v>
      </c>
      <c r="G110" t="s">
        <v>22</v>
      </c>
      <c r="H110">
        <f>VLOOKUP(A110,Sayfa2!A:B,2,0)</f>
        <v>0.4</v>
      </c>
      <c r="I110" t="s">
        <v>23</v>
      </c>
      <c r="J110" t="s">
        <v>24</v>
      </c>
    </row>
    <row r="111" spans="1:10" x14ac:dyDescent="0.25">
      <c r="A111" s="4" t="s">
        <v>205</v>
      </c>
      <c r="B111" s="1" t="s">
        <v>324</v>
      </c>
      <c r="C111" t="s">
        <v>449</v>
      </c>
      <c r="D111">
        <f>VLOOKUP(A111,Sayfa2!C:D,2,0)</f>
        <v>1.35</v>
      </c>
      <c r="G111" t="s">
        <v>22</v>
      </c>
      <c r="H111">
        <f>VLOOKUP(A111,Sayfa2!A:B,2,0)</f>
        <v>0.4</v>
      </c>
      <c r="I111" t="s">
        <v>23</v>
      </c>
      <c r="J111" t="s">
        <v>24</v>
      </c>
    </row>
    <row r="112" spans="1:10" x14ac:dyDescent="0.25">
      <c r="A112" s="4" t="s">
        <v>206</v>
      </c>
      <c r="B112" s="1" t="s">
        <v>325</v>
      </c>
      <c r="C112" t="s">
        <v>449</v>
      </c>
      <c r="D112">
        <f>VLOOKUP(A112,Sayfa2!C:D,2,0)</f>
        <v>1.35</v>
      </c>
      <c r="G112" t="s">
        <v>22</v>
      </c>
      <c r="H112">
        <f>VLOOKUP(A112,Sayfa2!A:B,2,0)</f>
        <v>0.4</v>
      </c>
      <c r="I112" t="s">
        <v>23</v>
      </c>
      <c r="J112" t="s">
        <v>24</v>
      </c>
    </row>
    <row r="113" spans="1:10" x14ac:dyDescent="0.25">
      <c r="A113" s="4" t="s">
        <v>207</v>
      </c>
      <c r="B113" s="1" t="s">
        <v>326</v>
      </c>
      <c r="C113" t="s">
        <v>449</v>
      </c>
      <c r="D113">
        <f>VLOOKUP(A113,Sayfa2!C:D,2,0)</f>
        <v>1.35</v>
      </c>
      <c r="G113" t="s">
        <v>22</v>
      </c>
      <c r="H113">
        <f>VLOOKUP(A113,Sayfa2!A:B,2,0)</f>
        <v>0.4</v>
      </c>
      <c r="I113" t="s">
        <v>23</v>
      </c>
      <c r="J113" t="s">
        <v>24</v>
      </c>
    </row>
    <row r="114" spans="1:10" x14ac:dyDescent="0.25">
      <c r="A114" s="4" t="s">
        <v>208</v>
      </c>
      <c r="B114" s="1" t="s">
        <v>327</v>
      </c>
      <c r="C114" t="s">
        <v>449</v>
      </c>
      <c r="D114">
        <f>VLOOKUP(A114,Sayfa2!C:D,2,0)</f>
        <v>0.93</v>
      </c>
      <c r="G114" t="s">
        <v>22</v>
      </c>
      <c r="H114">
        <f>VLOOKUP(A114,Sayfa2!A:B,2,0)</f>
        <v>0.215</v>
      </c>
      <c r="I114" t="s">
        <v>23</v>
      </c>
      <c r="J114" t="s">
        <v>24</v>
      </c>
    </row>
    <row r="115" spans="1:10" x14ac:dyDescent="0.25">
      <c r="A115" s="4" t="s">
        <v>209</v>
      </c>
      <c r="B115" s="1" t="s">
        <v>328</v>
      </c>
      <c r="C115" t="s">
        <v>449</v>
      </c>
      <c r="D115">
        <f>VLOOKUP(A115,Sayfa2!C:D,2,0)</f>
        <v>0.93</v>
      </c>
      <c r="G115" t="s">
        <v>22</v>
      </c>
      <c r="H115">
        <f>VLOOKUP(A115,Sayfa2!A:B,2,0)</f>
        <v>0.215</v>
      </c>
      <c r="I115" t="s">
        <v>23</v>
      </c>
      <c r="J115" t="s">
        <v>24</v>
      </c>
    </row>
    <row r="116" spans="1:10" x14ac:dyDescent="0.25">
      <c r="A116" s="4" t="s">
        <v>210</v>
      </c>
      <c r="B116" s="1" t="s">
        <v>329</v>
      </c>
      <c r="C116" t="s">
        <v>449</v>
      </c>
      <c r="D116">
        <f>VLOOKUP(A116,Sayfa2!C:D,2,0)</f>
        <v>0.93</v>
      </c>
      <c r="G116" t="s">
        <v>22</v>
      </c>
      <c r="H116">
        <f>VLOOKUP(A116,Sayfa2!A:B,2,0)</f>
        <v>0.216</v>
      </c>
      <c r="I116" t="s">
        <v>23</v>
      </c>
      <c r="J116" t="s">
        <v>24</v>
      </c>
    </row>
    <row r="117" spans="1:10" x14ac:dyDescent="0.25">
      <c r="A117" s="4" t="s">
        <v>211</v>
      </c>
      <c r="B117" s="1" t="s">
        <v>330</v>
      </c>
      <c r="C117" t="s">
        <v>449</v>
      </c>
      <c r="D117">
        <f>VLOOKUP(A117,Sayfa2!C:D,2,0)</f>
        <v>0.93</v>
      </c>
      <c r="G117" t="s">
        <v>22</v>
      </c>
      <c r="H117">
        <f>VLOOKUP(A117,Sayfa2!A:B,2,0)</f>
        <v>0.216</v>
      </c>
      <c r="I117" t="s">
        <v>23</v>
      </c>
      <c r="J117" t="s">
        <v>24</v>
      </c>
    </row>
    <row r="118" spans="1:10" x14ac:dyDescent="0.25">
      <c r="A118" s="4" t="s">
        <v>212</v>
      </c>
      <c r="B118" s="1" t="s">
        <v>331</v>
      </c>
      <c r="C118" t="s">
        <v>449</v>
      </c>
      <c r="D118">
        <f>VLOOKUP(A118,Sayfa2!C:D,2,0)</f>
        <v>1.88</v>
      </c>
      <c r="G118" t="s">
        <v>22</v>
      </c>
      <c r="H118">
        <f>VLOOKUP(A118,Sayfa2!A:B,2,0)</f>
        <v>0.63</v>
      </c>
      <c r="I118" t="s">
        <v>23</v>
      </c>
      <c r="J118" t="s">
        <v>24</v>
      </c>
    </row>
    <row r="119" spans="1:10" x14ac:dyDescent="0.25">
      <c r="A119" s="4" t="s">
        <v>213</v>
      </c>
      <c r="B119" s="1" t="s">
        <v>332</v>
      </c>
      <c r="C119" t="s">
        <v>449</v>
      </c>
      <c r="D119">
        <f>VLOOKUP(A119,Sayfa2!C:D,2,0)</f>
        <v>1.88</v>
      </c>
      <c r="G119" t="s">
        <v>22</v>
      </c>
      <c r="H119">
        <f>VLOOKUP(A119,Sayfa2!A:B,2,0)</f>
        <v>0.63</v>
      </c>
      <c r="I119" t="s">
        <v>23</v>
      </c>
      <c r="J119" t="s">
        <v>24</v>
      </c>
    </row>
    <row r="120" spans="1:10" x14ac:dyDescent="0.25">
      <c r="A120" s="4" t="s">
        <v>214</v>
      </c>
      <c r="B120" s="1" t="s">
        <v>333</v>
      </c>
      <c r="C120" t="s">
        <v>449</v>
      </c>
      <c r="D120">
        <f>VLOOKUP(A120,Sayfa2!C:D,2,0)</f>
        <v>1</v>
      </c>
      <c r="G120" t="s">
        <v>22</v>
      </c>
      <c r="H120">
        <f>VLOOKUP(A120,Sayfa2!A:B,2,0)</f>
        <v>0.3</v>
      </c>
      <c r="I120" t="s">
        <v>23</v>
      </c>
      <c r="J120" t="s">
        <v>24</v>
      </c>
    </row>
    <row r="121" spans="1:10" x14ac:dyDescent="0.25">
      <c r="A121" s="4" t="s">
        <v>215</v>
      </c>
      <c r="B121" s="1" t="s">
        <v>334</v>
      </c>
      <c r="C121" t="s">
        <v>449</v>
      </c>
      <c r="D121">
        <f>VLOOKUP(A121,Sayfa2!C:D,2,0)</f>
        <v>1</v>
      </c>
      <c r="G121" t="s">
        <v>22</v>
      </c>
      <c r="H121">
        <f>VLOOKUP(A121,Sayfa2!A:B,2,0)</f>
        <v>0.3</v>
      </c>
      <c r="I121" t="s">
        <v>23</v>
      </c>
      <c r="J121" t="s">
        <v>24</v>
      </c>
    </row>
    <row r="122" spans="1:10" x14ac:dyDescent="0.25">
      <c r="A122" s="4" t="s">
        <v>216</v>
      </c>
      <c r="B122" s="1" t="s">
        <v>335</v>
      </c>
      <c r="C122" t="s">
        <v>449</v>
      </c>
      <c r="D122">
        <f>VLOOKUP(A122,Sayfa2!C:D,2,0)</f>
        <v>1.44</v>
      </c>
      <c r="G122" t="s">
        <v>22</v>
      </c>
      <c r="H122">
        <f>VLOOKUP(A122,Sayfa2!A:B,2,0)</f>
        <v>0.51</v>
      </c>
      <c r="I122" t="s">
        <v>23</v>
      </c>
      <c r="J122" t="s">
        <v>24</v>
      </c>
    </row>
    <row r="123" spans="1:10" x14ac:dyDescent="0.25">
      <c r="A123" s="4" t="s">
        <v>217</v>
      </c>
      <c r="B123" s="1" t="s">
        <v>336</v>
      </c>
      <c r="C123" t="s">
        <v>449</v>
      </c>
      <c r="D123">
        <f>VLOOKUP(A123,Sayfa2!C:D,2,0)</f>
        <v>1.44</v>
      </c>
      <c r="G123" t="s">
        <v>22</v>
      </c>
      <c r="H123">
        <f>VLOOKUP(A123,Sayfa2!A:B,2,0)</f>
        <v>0.51</v>
      </c>
      <c r="I123" t="s">
        <v>23</v>
      </c>
      <c r="J123" t="s">
        <v>24</v>
      </c>
    </row>
    <row r="124" spans="1:10" x14ac:dyDescent="0.25">
      <c r="A124" s="4" t="s">
        <v>218</v>
      </c>
      <c r="B124" s="1" t="s">
        <v>337</v>
      </c>
      <c r="C124" t="s">
        <v>449</v>
      </c>
      <c r="D124">
        <f>VLOOKUP(A124,Sayfa2!C:D,2,0)</f>
        <v>2.1</v>
      </c>
      <c r="G124" t="s">
        <v>22</v>
      </c>
      <c r="H124">
        <f>VLOOKUP(A124,Sayfa2!A:B,2,0)</f>
        <v>0.86</v>
      </c>
      <c r="I124" t="s">
        <v>23</v>
      </c>
      <c r="J124" t="s">
        <v>24</v>
      </c>
    </row>
    <row r="125" spans="1:10" x14ac:dyDescent="0.25">
      <c r="A125" s="4" t="s">
        <v>219</v>
      </c>
      <c r="B125" s="1" t="s">
        <v>338</v>
      </c>
      <c r="C125" t="s">
        <v>449</v>
      </c>
      <c r="D125">
        <f>VLOOKUP(A125,Sayfa2!C:D,2,0)</f>
        <v>2.1</v>
      </c>
      <c r="G125" t="s">
        <v>22</v>
      </c>
      <c r="H125">
        <f>VLOOKUP(A125,Sayfa2!A:B,2,0)</f>
        <v>0.86</v>
      </c>
      <c r="I125" t="s">
        <v>23</v>
      </c>
      <c r="J125" t="s">
        <v>24</v>
      </c>
    </row>
    <row r="126" spans="1:10" x14ac:dyDescent="0.25">
      <c r="A126" s="4" t="s">
        <v>220</v>
      </c>
      <c r="B126" s="1" t="s">
        <v>339</v>
      </c>
      <c r="C126" t="s">
        <v>449</v>
      </c>
      <c r="D126">
        <f>VLOOKUP(A126,Sayfa2!C:D,2,0)</f>
        <v>1.8</v>
      </c>
      <c r="G126" t="s">
        <v>22</v>
      </c>
      <c r="H126">
        <f>VLOOKUP(A126,Sayfa2!A:B,2,0)</f>
        <v>0.8</v>
      </c>
      <c r="I126" t="s">
        <v>23</v>
      </c>
      <c r="J126" t="s">
        <v>24</v>
      </c>
    </row>
    <row r="127" spans="1:10" x14ac:dyDescent="0.25">
      <c r="A127" s="4" t="s">
        <v>221</v>
      </c>
      <c r="B127" s="1" t="s">
        <v>340</v>
      </c>
      <c r="C127" t="s">
        <v>449</v>
      </c>
      <c r="D127">
        <f>VLOOKUP(A127,Sayfa2!C:D,2,0)</f>
        <v>1.8</v>
      </c>
      <c r="G127" t="s">
        <v>22</v>
      </c>
      <c r="H127">
        <f>VLOOKUP(A127,Sayfa2!A:B,2,0)</f>
        <v>0.8</v>
      </c>
      <c r="I127" t="s">
        <v>23</v>
      </c>
      <c r="J127" t="s">
        <v>24</v>
      </c>
    </row>
    <row r="128" spans="1:10" x14ac:dyDescent="0.25">
      <c r="A128" s="4" t="s">
        <v>222</v>
      </c>
      <c r="B128" s="1" t="s">
        <v>341</v>
      </c>
      <c r="C128" t="s">
        <v>449</v>
      </c>
      <c r="D128">
        <f>VLOOKUP(A128,Sayfa2!C:D,2,0)</f>
        <v>1.8</v>
      </c>
      <c r="G128" t="s">
        <v>22</v>
      </c>
      <c r="H128">
        <f>VLOOKUP(A128,Sayfa2!A:B,2,0)</f>
        <v>0.8</v>
      </c>
      <c r="I128" t="s">
        <v>23</v>
      </c>
      <c r="J128" t="s">
        <v>24</v>
      </c>
    </row>
    <row r="129" spans="1:10" x14ac:dyDescent="0.25">
      <c r="A129" s="4" t="s">
        <v>223</v>
      </c>
      <c r="B129" s="1" t="s">
        <v>342</v>
      </c>
      <c r="C129" t="s">
        <v>449</v>
      </c>
      <c r="D129">
        <f>VLOOKUP(A129,Sayfa2!C:D,2,0)</f>
        <v>1.8</v>
      </c>
      <c r="G129" t="s">
        <v>22</v>
      </c>
      <c r="H129">
        <f>VLOOKUP(A129,Sayfa2!A:B,2,0)</f>
        <v>0.8</v>
      </c>
      <c r="I129" t="s">
        <v>23</v>
      </c>
      <c r="J129" t="s">
        <v>24</v>
      </c>
    </row>
    <row r="130" spans="1:10" x14ac:dyDescent="0.25">
      <c r="A130" s="4" t="s">
        <v>224</v>
      </c>
      <c r="B130" s="1" t="s">
        <v>343</v>
      </c>
      <c r="C130" t="s">
        <v>449</v>
      </c>
      <c r="D130">
        <f>VLOOKUP(A130,Sayfa2!C:D,2,0)</f>
        <v>1.7</v>
      </c>
      <c r="G130" t="s">
        <v>22</v>
      </c>
      <c r="H130">
        <f>VLOOKUP(A130,Sayfa2!A:B,2,0)</f>
        <v>0.67500000000000004</v>
      </c>
      <c r="I130" t="s">
        <v>23</v>
      </c>
      <c r="J130" t="s">
        <v>24</v>
      </c>
    </row>
    <row r="131" spans="1:10" x14ac:dyDescent="0.25">
      <c r="A131" s="4" t="s">
        <v>225</v>
      </c>
      <c r="B131" s="1" t="s">
        <v>344</v>
      </c>
      <c r="C131" t="s">
        <v>449</v>
      </c>
      <c r="D131">
        <f>VLOOKUP(A131,Sayfa2!C:D,2,0)</f>
        <v>1.7</v>
      </c>
      <c r="G131" t="s">
        <v>22</v>
      </c>
      <c r="H131">
        <f>VLOOKUP(A131,Sayfa2!A:B,2,0)</f>
        <v>0.67500000000000004</v>
      </c>
      <c r="I131" t="s">
        <v>23</v>
      </c>
      <c r="J131" t="s">
        <v>24</v>
      </c>
    </row>
    <row r="132" spans="1:10" x14ac:dyDescent="0.25">
      <c r="A132" s="4" t="s">
        <v>226</v>
      </c>
      <c r="B132" s="1" t="s">
        <v>345</v>
      </c>
      <c r="C132" t="s">
        <v>449</v>
      </c>
      <c r="D132">
        <f>VLOOKUP(A132,Sayfa2!C:D,2,0)</f>
        <v>1.7</v>
      </c>
      <c r="G132" t="s">
        <v>22</v>
      </c>
      <c r="H132">
        <f>VLOOKUP(A132,Sayfa2!A:B,2,0)</f>
        <v>0.67500000000000004</v>
      </c>
      <c r="I132" t="s">
        <v>23</v>
      </c>
      <c r="J132" t="s">
        <v>24</v>
      </c>
    </row>
    <row r="133" spans="1:10" x14ac:dyDescent="0.25">
      <c r="A133" s="4" t="s">
        <v>227</v>
      </c>
      <c r="B133" s="1" t="s">
        <v>346</v>
      </c>
      <c r="C133" t="s">
        <v>449</v>
      </c>
      <c r="D133">
        <f>VLOOKUP(A133,Sayfa2!C:D,2,0)</f>
        <v>1.7</v>
      </c>
      <c r="G133" t="s">
        <v>22</v>
      </c>
      <c r="H133">
        <f>VLOOKUP(A133,Sayfa2!A:B,2,0)</f>
        <v>0.67500000000000004</v>
      </c>
      <c r="I133" t="s">
        <v>23</v>
      </c>
      <c r="J133" t="s">
        <v>24</v>
      </c>
    </row>
    <row r="134" spans="1:10" x14ac:dyDescent="0.25">
      <c r="A134" s="4" t="s">
        <v>228</v>
      </c>
      <c r="B134" s="1" t="s">
        <v>347</v>
      </c>
      <c r="C134" t="s">
        <v>449</v>
      </c>
      <c r="D134">
        <f>VLOOKUP(A134,Sayfa2!C:D,2,0)</f>
        <v>2.68</v>
      </c>
      <c r="G134" t="s">
        <v>22</v>
      </c>
      <c r="H134">
        <f>VLOOKUP(A134,Sayfa2!A:B,2,0)</f>
        <v>1.1499999999999999</v>
      </c>
      <c r="I134" t="s">
        <v>23</v>
      </c>
      <c r="J134" t="s">
        <v>24</v>
      </c>
    </row>
    <row r="135" spans="1:10" x14ac:dyDescent="0.25">
      <c r="A135" s="4" t="s">
        <v>229</v>
      </c>
      <c r="B135" s="1" t="s">
        <v>348</v>
      </c>
      <c r="C135" t="s">
        <v>449</v>
      </c>
      <c r="D135">
        <f>VLOOKUP(A135,Sayfa2!C:D,2,0)</f>
        <v>2.68</v>
      </c>
      <c r="G135" t="s">
        <v>22</v>
      </c>
      <c r="H135">
        <f>VLOOKUP(A135,Sayfa2!A:B,2,0)</f>
        <v>1.1499999999999999</v>
      </c>
      <c r="I135" t="s">
        <v>23</v>
      </c>
      <c r="J135" t="s">
        <v>24</v>
      </c>
    </row>
    <row r="136" spans="1:10" x14ac:dyDescent="0.25">
      <c r="A136" s="4" t="s">
        <v>230</v>
      </c>
      <c r="B136" s="1" t="s">
        <v>349</v>
      </c>
      <c r="C136" t="s">
        <v>449</v>
      </c>
      <c r="D136">
        <f>VLOOKUP(A136,Sayfa2!C:D,2,0)</f>
        <v>1.45</v>
      </c>
      <c r="G136" t="s">
        <v>22</v>
      </c>
      <c r="H136">
        <f>VLOOKUP(A136,Sayfa2!A:B,2,0)</f>
        <v>0.42599999999999999</v>
      </c>
      <c r="I136" t="s">
        <v>23</v>
      </c>
      <c r="J136" t="s">
        <v>24</v>
      </c>
    </row>
    <row r="137" spans="1:10" x14ac:dyDescent="0.25">
      <c r="A137" s="4" t="s">
        <v>231</v>
      </c>
      <c r="B137" s="1" t="s">
        <v>350</v>
      </c>
      <c r="C137" t="s">
        <v>449</v>
      </c>
      <c r="D137">
        <f>VLOOKUP(A137,Sayfa2!C:D,2,0)</f>
        <v>1.45</v>
      </c>
      <c r="G137" t="s">
        <v>22</v>
      </c>
      <c r="H137">
        <f>VLOOKUP(A137,Sayfa2!A:B,2,0)</f>
        <v>0.42599999999999999</v>
      </c>
      <c r="I137" t="s">
        <v>23</v>
      </c>
      <c r="J137" t="s">
        <v>24</v>
      </c>
    </row>
    <row r="138" spans="1:10" x14ac:dyDescent="0.25">
      <c r="A138" s="4" t="s">
        <v>232</v>
      </c>
      <c r="B138" s="1" t="s">
        <v>351</v>
      </c>
      <c r="C138" t="s">
        <v>449</v>
      </c>
      <c r="D138">
        <f>VLOOKUP(A138,Sayfa2!C:D,2,0)</f>
        <v>1.58</v>
      </c>
      <c r="G138" t="s">
        <v>22</v>
      </c>
      <c r="H138">
        <f>VLOOKUP(A138,Sayfa2!A:B,2,0)</f>
        <v>0.52</v>
      </c>
      <c r="I138" t="s">
        <v>23</v>
      </c>
      <c r="J138" t="s">
        <v>24</v>
      </c>
    </row>
    <row r="139" spans="1:10" x14ac:dyDescent="0.25">
      <c r="A139" s="4" t="s">
        <v>233</v>
      </c>
      <c r="B139" s="1" t="s">
        <v>352</v>
      </c>
      <c r="C139" t="s">
        <v>449</v>
      </c>
      <c r="D139">
        <f>VLOOKUP(A139,Sayfa2!C:D,2,0)</f>
        <v>2.2999999999999998</v>
      </c>
      <c r="G139" t="s">
        <v>22</v>
      </c>
      <c r="H139">
        <f>VLOOKUP(A139,Sayfa2!A:B,2,0)</f>
        <v>0.6</v>
      </c>
      <c r="I139" t="s">
        <v>23</v>
      </c>
      <c r="J139" t="s">
        <v>24</v>
      </c>
    </row>
    <row r="140" spans="1:10" x14ac:dyDescent="0.25">
      <c r="A140" s="4" t="s">
        <v>234</v>
      </c>
      <c r="B140" s="1" t="s">
        <v>353</v>
      </c>
      <c r="C140" t="s">
        <v>449</v>
      </c>
      <c r="D140">
        <f>VLOOKUP(A140,Sayfa2!C:D,2,0)</f>
        <v>2.2999999999999998</v>
      </c>
      <c r="G140" t="s">
        <v>22</v>
      </c>
      <c r="H140">
        <f>VLOOKUP(A140,Sayfa2!A:B,2,0)</f>
        <v>0.6</v>
      </c>
      <c r="I140" t="s">
        <v>23</v>
      </c>
      <c r="J140" t="s">
        <v>24</v>
      </c>
    </row>
    <row r="141" spans="1:10" x14ac:dyDescent="0.25">
      <c r="A141" s="4" t="s">
        <v>235</v>
      </c>
      <c r="B141" s="1" t="s">
        <v>354</v>
      </c>
      <c r="C141" t="s">
        <v>449</v>
      </c>
      <c r="D141">
        <f>VLOOKUP(A141,Sayfa2!C:D,2,0)</f>
        <v>1.7</v>
      </c>
      <c r="G141" t="s">
        <v>22</v>
      </c>
      <c r="H141">
        <f>VLOOKUP(A141,Sayfa2!A:B,2,0)</f>
        <v>0.48499999999999999</v>
      </c>
      <c r="I141" t="s">
        <v>23</v>
      </c>
      <c r="J141" t="s">
        <v>24</v>
      </c>
    </row>
    <row r="142" spans="1:10" x14ac:dyDescent="0.25">
      <c r="A142" s="4" t="s">
        <v>236</v>
      </c>
      <c r="B142" s="1" t="s">
        <v>278</v>
      </c>
      <c r="C142" t="s">
        <v>449</v>
      </c>
      <c r="D142">
        <f>VLOOKUP(A142,Sayfa2!C:D,2,0)</f>
        <v>1.7</v>
      </c>
      <c r="G142" t="s">
        <v>22</v>
      </c>
      <c r="H142">
        <f>VLOOKUP(A142,Sayfa2!A:B,2,0)</f>
        <v>0.48499999999999999</v>
      </c>
      <c r="I142" t="s">
        <v>23</v>
      </c>
      <c r="J142" t="s">
        <v>24</v>
      </c>
    </row>
    <row r="143" spans="1:10" x14ac:dyDescent="0.25">
      <c r="A143" s="4" t="s">
        <v>237</v>
      </c>
      <c r="B143" s="1" t="s">
        <v>279</v>
      </c>
      <c r="C143" t="s">
        <v>449</v>
      </c>
      <c r="D143">
        <f>VLOOKUP(A143,Sayfa2!C:D,2,0)</f>
        <v>1.85</v>
      </c>
      <c r="G143" t="s">
        <v>22</v>
      </c>
      <c r="H143">
        <f>VLOOKUP(A143,Sayfa2!A:B,2,0)</f>
        <v>0.6</v>
      </c>
      <c r="I143" t="s">
        <v>23</v>
      </c>
      <c r="J143" t="s">
        <v>24</v>
      </c>
    </row>
    <row r="144" spans="1:10" x14ac:dyDescent="0.25">
      <c r="A144" s="4" t="s">
        <v>238</v>
      </c>
      <c r="B144" s="1" t="s">
        <v>280</v>
      </c>
      <c r="C144" t="s">
        <v>449</v>
      </c>
      <c r="D144">
        <f>VLOOKUP(A144,Sayfa2!C:D,2,0)</f>
        <v>1.85</v>
      </c>
      <c r="G144" t="s">
        <v>22</v>
      </c>
      <c r="H144">
        <f>VLOOKUP(A144,Sayfa2!A:B,2,0)</f>
        <v>0.6</v>
      </c>
      <c r="I144" t="s">
        <v>23</v>
      </c>
      <c r="J144" t="s">
        <v>24</v>
      </c>
    </row>
    <row r="145" spans="1:10" x14ac:dyDescent="0.25">
      <c r="A145" s="4" t="s">
        <v>239</v>
      </c>
      <c r="B145" s="1" t="s">
        <v>281</v>
      </c>
      <c r="C145" t="s">
        <v>449</v>
      </c>
      <c r="D145">
        <f>VLOOKUP(A145,Sayfa2!C:D,2,0)</f>
        <v>0</v>
      </c>
      <c r="G145" t="s">
        <v>22</v>
      </c>
      <c r="H145">
        <f>VLOOKUP(A145,Sayfa2!A:B,2,0)</f>
        <v>0</v>
      </c>
      <c r="I145" t="s">
        <v>23</v>
      </c>
      <c r="J145" t="s">
        <v>24</v>
      </c>
    </row>
    <row r="146" spans="1:10" x14ac:dyDescent="0.25">
      <c r="A146" s="4" t="s">
        <v>240</v>
      </c>
      <c r="B146" s="1" t="s">
        <v>282</v>
      </c>
      <c r="C146" t="s">
        <v>449</v>
      </c>
      <c r="D146">
        <f>VLOOKUP(A146,Sayfa2!C:D,2,0)</f>
        <v>1.8</v>
      </c>
      <c r="G146" t="s">
        <v>22</v>
      </c>
      <c r="H146">
        <f>VLOOKUP(A146,Sayfa2!A:B,2,0)</f>
        <v>0.7</v>
      </c>
      <c r="I146" t="s">
        <v>23</v>
      </c>
      <c r="J146" t="s">
        <v>24</v>
      </c>
    </row>
    <row r="147" spans="1:10" x14ac:dyDescent="0.25">
      <c r="A147" s="4" t="s">
        <v>241</v>
      </c>
      <c r="B147" s="1" t="s">
        <v>283</v>
      </c>
      <c r="C147" t="s">
        <v>449</v>
      </c>
      <c r="D147">
        <f>VLOOKUP(A147,Sayfa2!C:D,2,0)</f>
        <v>1.8</v>
      </c>
      <c r="G147" t="s">
        <v>22</v>
      </c>
      <c r="H147">
        <f>VLOOKUP(A147,Sayfa2!A:B,2,0)</f>
        <v>0.7</v>
      </c>
      <c r="I147" t="s">
        <v>23</v>
      </c>
      <c r="J147" t="s">
        <v>24</v>
      </c>
    </row>
    <row r="148" spans="1:10" x14ac:dyDescent="0.25">
      <c r="A148" s="4" t="s">
        <v>242</v>
      </c>
      <c r="B148" s="1" t="s">
        <v>284</v>
      </c>
      <c r="C148" t="s">
        <v>449</v>
      </c>
      <c r="D148">
        <f>VLOOKUP(A148,Sayfa2!C:D,2,0)</f>
        <v>4</v>
      </c>
      <c r="G148" t="s">
        <v>22</v>
      </c>
      <c r="H148">
        <f>VLOOKUP(A148,Sayfa2!A:B,2,0)</f>
        <v>1.52</v>
      </c>
      <c r="I148" t="s">
        <v>23</v>
      </c>
      <c r="J148" t="s">
        <v>24</v>
      </c>
    </row>
    <row r="149" spans="1:10" x14ac:dyDescent="0.25">
      <c r="A149" s="4" t="s">
        <v>243</v>
      </c>
      <c r="B149" s="1" t="s">
        <v>285</v>
      </c>
      <c r="C149" t="s">
        <v>449</v>
      </c>
      <c r="D149">
        <f>VLOOKUP(A149,Sayfa2!C:D,2,0)</f>
        <v>4</v>
      </c>
      <c r="G149" t="s">
        <v>22</v>
      </c>
      <c r="H149">
        <f>VLOOKUP(A149,Sayfa2!A:B,2,0)</f>
        <v>1.52</v>
      </c>
      <c r="I149" t="s">
        <v>23</v>
      </c>
      <c r="J149" t="s">
        <v>24</v>
      </c>
    </row>
    <row r="150" spans="1:10" x14ac:dyDescent="0.25">
      <c r="A150" s="4" t="s">
        <v>244</v>
      </c>
      <c r="B150" s="1" t="s">
        <v>286</v>
      </c>
      <c r="C150" t="s">
        <v>449</v>
      </c>
      <c r="D150">
        <f>VLOOKUP(A150,Sayfa2!C:D,2,0)</f>
        <v>2.2000000000000002</v>
      </c>
      <c r="G150" t="s">
        <v>22</v>
      </c>
      <c r="H150">
        <f>VLOOKUP(A150,Sayfa2!A:B,2,0)</f>
        <v>1.2</v>
      </c>
      <c r="I150" t="s">
        <v>23</v>
      </c>
      <c r="J150" t="s">
        <v>24</v>
      </c>
    </row>
    <row r="151" spans="1:10" x14ac:dyDescent="0.25">
      <c r="A151" s="4" t="s">
        <v>245</v>
      </c>
      <c r="B151" s="1" t="s">
        <v>287</v>
      </c>
      <c r="C151" t="s">
        <v>449</v>
      </c>
      <c r="D151">
        <f>VLOOKUP(A151,Sayfa2!C:D,2,0)</f>
        <v>2.2000000000000002</v>
      </c>
      <c r="G151" t="s">
        <v>22</v>
      </c>
      <c r="H151">
        <f>VLOOKUP(A151,Sayfa2!A:B,2,0)</f>
        <v>1.2</v>
      </c>
      <c r="I151" t="s">
        <v>23</v>
      </c>
      <c r="J151" t="s">
        <v>24</v>
      </c>
    </row>
    <row r="152" spans="1:10" x14ac:dyDescent="0.25">
      <c r="A152" s="4" t="s">
        <v>246</v>
      </c>
      <c r="B152" s="1" t="s">
        <v>288</v>
      </c>
      <c r="C152" t="s">
        <v>449</v>
      </c>
      <c r="D152">
        <f>VLOOKUP(A152,Sayfa2!C:D,2,0)</f>
        <v>1.23</v>
      </c>
      <c r="G152" t="s">
        <v>22</v>
      </c>
      <c r="H152">
        <f>VLOOKUP(A152,Sayfa2!A:B,2,0)</f>
        <v>0.254</v>
      </c>
      <c r="I152" t="s">
        <v>23</v>
      </c>
      <c r="J152" t="s">
        <v>24</v>
      </c>
    </row>
    <row r="153" spans="1:10" x14ac:dyDescent="0.25">
      <c r="A153" s="4" t="s">
        <v>247</v>
      </c>
      <c r="B153" s="1" t="s">
        <v>289</v>
      </c>
      <c r="C153" t="s">
        <v>449</v>
      </c>
      <c r="D153">
        <f>VLOOKUP(A153,Sayfa2!C:D,2,0)</f>
        <v>1.23</v>
      </c>
      <c r="G153" t="s">
        <v>22</v>
      </c>
      <c r="H153">
        <f>VLOOKUP(A153,Sayfa2!A:B,2,0)</f>
        <v>0.254</v>
      </c>
      <c r="I153" t="s">
        <v>23</v>
      </c>
      <c r="J153" t="s">
        <v>24</v>
      </c>
    </row>
    <row r="154" spans="1:10" x14ac:dyDescent="0.25">
      <c r="A154" s="4" t="s">
        <v>248</v>
      </c>
      <c r="B154" s="1" t="s">
        <v>290</v>
      </c>
      <c r="C154" t="s">
        <v>449</v>
      </c>
      <c r="D154">
        <f>VLOOKUP(A154,Sayfa2!C:D,2,0)</f>
        <v>1.23</v>
      </c>
      <c r="G154" t="s">
        <v>22</v>
      </c>
      <c r="H154">
        <f>VLOOKUP(A154,Sayfa2!A:B,2,0)</f>
        <v>0.254</v>
      </c>
      <c r="I154" t="s">
        <v>23</v>
      </c>
      <c r="J154" t="s">
        <v>24</v>
      </c>
    </row>
    <row r="155" spans="1:10" x14ac:dyDescent="0.25">
      <c r="A155" s="4" t="s">
        <v>249</v>
      </c>
      <c r="B155" s="1" t="s">
        <v>291</v>
      </c>
      <c r="C155" t="s">
        <v>449</v>
      </c>
      <c r="D155">
        <f>VLOOKUP(A155,Sayfa2!C:D,2,0)</f>
        <v>1.23</v>
      </c>
      <c r="G155" t="s">
        <v>22</v>
      </c>
      <c r="H155">
        <f>VLOOKUP(A155,Sayfa2!A:B,2,0)</f>
        <v>0.254</v>
      </c>
      <c r="I155" t="s">
        <v>23</v>
      </c>
      <c r="J155" t="s">
        <v>24</v>
      </c>
    </row>
    <row r="156" spans="1:10" x14ac:dyDescent="0.25">
      <c r="A156" s="4" t="s">
        <v>250</v>
      </c>
      <c r="B156" s="1" t="s">
        <v>292</v>
      </c>
      <c r="C156" t="s">
        <v>449</v>
      </c>
      <c r="D156">
        <f>VLOOKUP(A156,Sayfa2!C:D,2,0)</f>
        <v>1.23</v>
      </c>
      <c r="G156" t="s">
        <v>22</v>
      </c>
      <c r="H156">
        <f>VLOOKUP(A156,Sayfa2!A:B,2,0)</f>
        <v>0.254</v>
      </c>
      <c r="I156" t="s">
        <v>23</v>
      </c>
      <c r="J156" t="s">
        <v>24</v>
      </c>
    </row>
    <row r="157" spans="1:10" x14ac:dyDescent="0.25">
      <c r="A157" s="4" t="s">
        <v>251</v>
      </c>
      <c r="B157" s="1" t="s">
        <v>293</v>
      </c>
      <c r="C157" t="s">
        <v>449</v>
      </c>
      <c r="D157">
        <f>VLOOKUP(A157,Sayfa2!C:D,2,0)</f>
        <v>1.23</v>
      </c>
      <c r="G157" t="s">
        <v>22</v>
      </c>
      <c r="H157">
        <f>VLOOKUP(A157,Sayfa2!A:B,2,0)</f>
        <v>0.254</v>
      </c>
      <c r="I157" t="s">
        <v>23</v>
      </c>
      <c r="J157" t="s">
        <v>24</v>
      </c>
    </row>
    <row r="158" spans="1:10" x14ac:dyDescent="0.25">
      <c r="A158" s="4" t="s">
        <v>252</v>
      </c>
      <c r="B158" s="1" t="s">
        <v>294</v>
      </c>
      <c r="C158" t="s">
        <v>449</v>
      </c>
      <c r="D158">
        <f>VLOOKUP(A158,Sayfa2!C:D,2,0)</f>
        <v>1.23</v>
      </c>
      <c r="G158" t="s">
        <v>22</v>
      </c>
      <c r="H158">
        <f>VLOOKUP(A158,Sayfa2!A:B,2,0)</f>
        <v>0.254</v>
      </c>
      <c r="I158" t="s">
        <v>23</v>
      </c>
      <c r="J158" t="s">
        <v>24</v>
      </c>
    </row>
    <row r="159" spans="1:10" x14ac:dyDescent="0.25">
      <c r="A159" s="4" t="s">
        <v>253</v>
      </c>
      <c r="B159" s="1" t="s">
        <v>295</v>
      </c>
      <c r="C159" t="s">
        <v>449</v>
      </c>
      <c r="D159">
        <f>VLOOKUP(A159,Sayfa2!C:D,2,0)</f>
        <v>1.23</v>
      </c>
      <c r="G159" t="s">
        <v>22</v>
      </c>
      <c r="H159">
        <f>VLOOKUP(A159,Sayfa2!A:B,2,0)</f>
        <v>0.254</v>
      </c>
      <c r="I159" t="s">
        <v>23</v>
      </c>
      <c r="J159" t="s">
        <v>24</v>
      </c>
    </row>
    <row r="160" spans="1:10" x14ac:dyDescent="0.25">
      <c r="A160" s="4" t="s">
        <v>254</v>
      </c>
      <c r="B160" s="1" t="s">
        <v>296</v>
      </c>
      <c r="C160" t="s">
        <v>449</v>
      </c>
      <c r="D160">
        <f>VLOOKUP(A160,Sayfa2!C:D,2,0)</f>
        <v>1.23</v>
      </c>
      <c r="G160" t="s">
        <v>22</v>
      </c>
      <c r="H160">
        <f>VLOOKUP(A160,Sayfa2!A:B,2,0)</f>
        <v>0.254</v>
      </c>
      <c r="I160" t="s">
        <v>23</v>
      </c>
      <c r="J160" t="s">
        <v>24</v>
      </c>
    </row>
    <row r="161" spans="1:10" x14ac:dyDescent="0.25">
      <c r="A161" s="4" t="s">
        <v>255</v>
      </c>
      <c r="B161" s="1" t="s">
        <v>297</v>
      </c>
      <c r="C161" t="s">
        <v>449</v>
      </c>
      <c r="D161">
        <f>VLOOKUP(A161,Sayfa2!C:D,2,0)</f>
        <v>1.23</v>
      </c>
      <c r="G161" t="s">
        <v>22</v>
      </c>
      <c r="H161">
        <f>VLOOKUP(A161,Sayfa2!A:B,2,0)</f>
        <v>0.254</v>
      </c>
      <c r="I161" t="s">
        <v>23</v>
      </c>
      <c r="J161" t="s">
        <v>24</v>
      </c>
    </row>
    <row r="162" spans="1:10" x14ac:dyDescent="0.25">
      <c r="A162" s="4" t="s">
        <v>256</v>
      </c>
      <c r="B162" s="1" t="s">
        <v>298</v>
      </c>
      <c r="C162" t="s">
        <v>449</v>
      </c>
      <c r="D162">
        <f>VLOOKUP(A162,Sayfa2!C:D,2,0)</f>
        <v>1.25</v>
      </c>
      <c r="G162" t="s">
        <v>22</v>
      </c>
      <c r="H162">
        <f>VLOOKUP(A162,Sayfa2!A:B,2,0)</f>
        <v>0.38</v>
      </c>
      <c r="I162" t="s">
        <v>23</v>
      </c>
      <c r="J162" t="s">
        <v>24</v>
      </c>
    </row>
    <row r="163" spans="1:10" x14ac:dyDescent="0.25">
      <c r="A163" s="4" t="s">
        <v>257</v>
      </c>
      <c r="B163" s="1" t="s">
        <v>299</v>
      </c>
      <c r="C163" t="s">
        <v>449</v>
      </c>
      <c r="D163">
        <f>VLOOKUP(A163,Sayfa2!C:D,2,0)</f>
        <v>1.25</v>
      </c>
      <c r="G163" t="s">
        <v>22</v>
      </c>
      <c r="H163">
        <f>VLOOKUP(A163,Sayfa2!A:B,2,0)</f>
        <v>0.38</v>
      </c>
      <c r="I163" t="s">
        <v>23</v>
      </c>
      <c r="J163" t="s">
        <v>24</v>
      </c>
    </row>
    <row r="164" spans="1:10" x14ac:dyDescent="0.25">
      <c r="A164" s="4" t="s">
        <v>258</v>
      </c>
      <c r="B164" s="1" t="s">
        <v>300</v>
      </c>
      <c r="C164" t="s">
        <v>449</v>
      </c>
      <c r="D164">
        <f>VLOOKUP(A164,Sayfa2!C:D,2,0)</f>
        <v>1.9</v>
      </c>
      <c r="G164" t="s">
        <v>22</v>
      </c>
      <c r="H164">
        <f>VLOOKUP(A164,Sayfa2!A:B,2,0)</f>
        <v>1.028</v>
      </c>
      <c r="I164" t="s">
        <v>23</v>
      </c>
      <c r="J164" t="s">
        <v>24</v>
      </c>
    </row>
    <row r="165" spans="1:10" x14ac:dyDescent="0.25">
      <c r="A165" s="4" t="s">
        <v>259</v>
      </c>
      <c r="B165" s="1" t="s">
        <v>301</v>
      </c>
      <c r="C165" t="s">
        <v>449</v>
      </c>
      <c r="D165">
        <f>VLOOKUP(A165,Sayfa2!C:D,2,0)</f>
        <v>1.9</v>
      </c>
      <c r="G165" t="s">
        <v>22</v>
      </c>
      <c r="H165">
        <f>VLOOKUP(A165,Sayfa2!A:B,2,0)</f>
        <v>1.028</v>
      </c>
      <c r="I165" t="s">
        <v>23</v>
      </c>
      <c r="J165" t="s">
        <v>24</v>
      </c>
    </row>
    <row r="166" spans="1:10" x14ac:dyDescent="0.25">
      <c r="A166" s="4" t="s">
        <v>260</v>
      </c>
      <c r="B166" s="1" t="s">
        <v>302</v>
      </c>
      <c r="C166" t="s">
        <v>449</v>
      </c>
      <c r="D166">
        <f>VLOOKUP(A166,Sayfa2!C:D,2,0)</f>
        <v>2.5</v>
      </c>
      <c r="G166" t="s">
        <v>22</v>
      </c>
      <c r="H166">
        <f>VLOOKUP(A166,Sayfa2!A:B,2,0)</f>
        <v>1.33</v>
      </c>
      <c r="I166" t="s">
        <v>23</v>
      </c>
      <c r="J166" t="s">
        <v>24</v>
      </c>
    </row>
    <row r="167" spans="1:10" x14ac:dyDescent="0.25">
      <c r="A167" s="4" t="s">
        <v>261</v>
      </c>
      <c r="B167" s="1" t="s">
        <v>303</v>
      </c>
      <c r="C167" t="s">
        <v>449</v>
      </c>
      <c r="D167">
        <f>VLOOKUP(A167,Sayfa2!C:D,2,0)</f>
        <v>2.5</v>
      </c>
      <c r="G167" t="s">
        <v>22</v>
      </c>
      <c r="H167">
        <f>VLOOKUP(A167,Sayfa2!A:B,2,0)</f>
        <v>1.33</v>
      </c>
      <c r="I167" t="s">
        <v>23</v>
      </c>
      <c r="J167" t="s">
        <v>24</v>
      </c>
    </row>
    <row r="168" spans="1:10" x14ac:dyDescent="0.25">
      <c r="A168" s="4" t="s">
        <v>262</v>
      </c>
      <c r="B168" s="1" t="s">
        <v>304</v>
      </c>
      <c r="C168" t="s">
        <v>449</v>
      </c>
      <c r="D168">
        <f>VLOOKUP(A168,Sayfa2!C:D,2,0)</f>
        <v>0</v>
      </c>
      <c r="G168" t="s">
        <v>22</v>
      </c>
      <c r="H168">
        <f>VLOOKUP(A168,Sayfa2!A:B,2,0)</f>
        <v>0.48699999999999999</v>
      </c>
      <c r="I168" t="s">
        <v>23</v>
      </c>
      <c r="J168" t="s">
        <v>24</v>
      </c>
    </row>
    <row r="169" spans="1:10" x14ac:dyDescent="0.25">
      <c r="A169" s="4" t="s">
        <v>263</v>
      </c>
      <c r="B169" s="1" t="s">
        <v>305</v>
      </c>
      <c r="C169" t="s">
        <v>449</v>
      </c>
      <c r="D169">
        <f>VLOOKUP(A169,Sayfa2!C:D,2,0)</f>
        <v>0</v>
      </c>
      <c r="G169" t="s">
        <v>22</v>
      </c>
      <c r="H169">
        <f>VLOOKUP(A169,Sayfa2!A:B,2,0)</f>
        <v>0.48699999999999999</v>
      </c>
      <c r="I169" t="s">
        <v>23</v>
      </c>
      <c r="J169" t="s">
        <v>24</v>
      </c>
    </row>
    <row r="170" spans="1:10" x14ac:dyDescent="0.25">
      <c r="A170" s="4" t="s">
        <v>264</v>
      </c>
      <c r="B170" s="1" t="s">
        <v>306</v>
      </c>
      <c r="C170" t="s">
        <v>449</v>
      </c>
      <c r="D170">
        <f>VLOOKUP(A170,Sayfa2!C:D,2,0)</f>
        <v>1.2</v>
      </c>
      <c r="G170" t="s">
        <v>22</v>
      </c>
      <c r="H170">
        <f>VLOOKUP(A170,Sayfa2!A:B,2,0)</f>
        <v>0.42199999999999999</v>
      </c>
      <c r="I170" t="s">
        <v>23</v>
      </c>
      <c r="J170" t="s">
        <v>24</v>
      </c>
    </row>
    <row r="171" spans="1:10" x14ac:dyDescent="0.25">
      <c r="A171" s="4" t="s">
        <v>265</v>
      </c>
      <c r="B171" s="1" t="s">
        <v>307</v>
      </c>
      <c r="C171" t="s">
        <v>449</v>
      </c>
      <c r="D171">
        <f>VLOOKUP(A171,Sayfa2!C:D,2,0)</f>
        <v>1.2</v>
      </c>
      <c r="G171" t="s">
        <v>22</v>
      </c>
      <c r="H171">
        <f>VLOOKUP(A171,Sayfa2!A:B,2,0)</f>
        <v>0.42199999999999999</v>
      </c>
      <c r="I171" t="s">
        <v>23</v>
      </c>
      <c r="J171" t="s">
        <v>24</v>
      </c>
    </row>
    <row r="172" spans="1:10" x14ac:dyDescent="0.25">
      <c r="A172" s="4" t="s">
        <v>266</v>
      </c>
      <c r="B172" s="1" t="s">
        <v>308</v>
      </c>
      <c r="C172" t="s">
        <v>449</v>
      </c>
      <c r="D172">
        <f>VLOOKUP(A172,Sayfa2!C:D,2,0)</f>
        <v>1.6</v>
      </c>
      <c r="G172" t="s">
        <v>22</v>
      </c>
      <c r="H172">
        <f>VLOOKUP(A172,Sayfa2!A:B,2,0)</f>
        <v>0.57999999999999996</v>
      </c>
      <c r="I172" t="s">
        <v>23</v>
      </c>
      <c r="J172" t="s">
        <v>24</v>
      </c>
    </row>
    <row r="173" spans="1:10" x14ac:dyDescent="0.25">
      <c r="A173" s="4" t="s">
        <v>267</v>
      </c>
      <c r="B173" s="1" t="s">
        <v>309</v>
      </c>
      <c r="C173" t="s">
        <v>449</v>
      </c>
      <c r="D173">
        <f>VLOOKUP(A173,Sayfa2!C:D,2,0)</f>
        <v>1.6</v>
      </c>
      <c r="G173" t="s">
        <v>22</v>
      </c>
      <c r="H173">
        <f>VLOOKUP(A173,Sayfa2!A:B,2,0)</f>
        <v>0.57999999999999996</v>
      </c>
      <c r="I173" t="s">
        <v>23</v>
      </c>
      <c r="J173" t="s">
        <v>24</v>
      </c>
    </row>
    <row r="174" spans="1:10" x14ac:dyDescent="0.25">
      <c r="A174" s="4" t="s">
        <v>268</v>
      </c>
      <c r="B174" s="1" t="s">
        <v>310</v>
      </c>
      <c r="C174" t="s">
        <v>449</v>
      </c>
      <c r="D174">
        <f>VLOOKUP(A174,Sayfa2!C:D,2,0)</f>
        <v>2.1</v>
      </c>
      <c r="G174" t="s">
        <v>22</v>
      </c>
      <c r="H174">
        <f>VLOOKUP(A174,Sayfa2!A:B,2,0)</f>
        <v>0.59099999999999997</v>
      </c>
      <c r="I174" t="s">
        <v>23</v>
      </c>
      <c r="J174" t="s">
        <v>24</v>
      </c>
    </row>
    <row r="175" spans="1:10" x14ac:dyDescent="0.25">
      <c r="A175" s="4" t="s">
        <v>269</v>
      </c>
      <c r="B175" s="1" t="s">
        <v>311</v>
      </c>
      <c r="C175" t="s">
        <v>449</v>
      </c>
      <c r="D175">
        <f>VLOOKUP(A175,Sayfa2!C:D,2,0)</f>
        <v>2.1</v>
      </c>
      <c r="G175" t="s">
        <v>22</v>
      </c>
      <c r="H175">
        <f>VLOOKUP(A175,Sayfa2!A:B,2,0)</f>
        <v>0.59099999999999997</v>
      </c>
      <c r="I175" t="s">
        <v>23</v>
      </c>
      <c r="J175" t="s">
        <v>24</v>
      </c>
    </row>
    <row r="176" spans="1:10" x14ac:dyDescent="0.25">
      <c r="A176" s="4" t="s">
        <v>270</v>
      </c>
      <c r="B176" s="1" t="s">
        <v>312</v>
      </c>
      <c r="C176" t="s">
        <v>449</v>
      </c>
      <c r="D176">
        <f>VLOOKUP(A176,Sayfa2!C:D,2,0)</f>
        <v>1.4</v>
      </c>
      <c r="G176" t="s">
        <v>22</v>
      </c>
      <c r="H176">
        <f>VLOOKUP(A176,Sayfa2!A:B,2,0)</f>
        <v>0.39500000000000002</v>
      </c>
      <c r="I176" t="s">
        <v>23</v>
      </c>
      <c r="J176" t="s">
        <v>24</v>
      </c>
    </row>
    <row r="177" spans="1:10" x14ac:dyDescent="0.25">
      <c r="A177" s="4" t="s">
        <v>271</v>
      </c>
      <c r="B177" s="1" t="s">
        <v>313</v>
      </c>
      <c r="C177" t="s">
        <v>449</v>
      </c>
      <c r="D177">
        <f>VLOOKUP(A177,Sayfa2!C:D,2,0)</f>
        <v>1.4</v>
      </c>
      <c r="G177" t="s">
        <v>22</v>
      </c>
      <c r="H177">
        <f>VLOOKUP(A177,Sayfa2!A:B,2,0)</f>
        <v>0.39500000000000002</v>
      </c>
      <c r="I177" t="s">
        <v>23</v>
      </c>
      <c r="J177" t="s">
        <v>24</v>
      </c>
    </row>
    <row r="178" spans="1:10" x14ac:dyDescent="0.25">
      <c r="A178" s="4" t="s">
        <v>272</v>
      </c>
      <c r="B178" s="1" t="s">
        <v>314</v>
      </c>
      <c r="C178" t="s">
        <v>449</v>
      </c>
      <c r="D178">
        <f>VLOOKUP(A178,Sayfa2!C:D,2,0)</f>
        <v>0</v>
      </c>
      <c r="G178" t="s">
        <v>22</v>
      </c>
      <c r="H178">
        <f>VLOOKUP(A178,Sayfa2!A:B,2,0)</f>
        <v>0.30599999999999999</v>
      </c>
      <c r="I178" t="s">
        <v>23</v>
      </c>
      <c r="J178" t="s">
        <v>24</v>
      </c>
    </row>
    <row r="179" spans="1:10" x14ac:dyDescent="0.25">
      <c r="A179" s="4" t="s">
        <v>273</v>
      </c>
      <c r="B179" s="1" t="s">
        <v>315</v>
      </c>
      <c r="C179" t="s">
        <v>449</v>
      </c>
      <c r="D179">
        <f>VLOOKUP(A179,Sayfa2!C:D,2,0)</f>
        <v>0</v>
      </c>
      <c r="G179" t="s">
        <v>22</v>
      </c>
      <c r="H179">
        <f>VLOOKUP(A179,Sayfa2!A:B,2,0)</f>
        <v>0.30599999999999999</v>
      </c>
      <c r="I179" t="s">
        <v>23</v>
      </c>
      <c r="J179" t="s">
        <v>24</v>
      </c>
    </row>
    <row r="180" spans="1:10" x14ac:dyDescent="0.25">
      <c r="A180" s="4" t="s">
        <v>274</v>
      </c>
      <c r="B180" s="1" t="s">
        <v>316</v>
      </c>
      <c r="C180" t="s">
        <v>449</v>
      </c>
      <c r="D180">
        <f>VLOOKUP(A180,Sayfa2!C:D,2,0)</f>
        <v>1.19</v>
      </c>
      <c r="G180" t="s">
        <v>22</v>
      </c>
      <c r="H180">
        <f>VLOOKUP(A180,Sayfa2!A:B,2,0)</f>
        <v>0.30499999999999999</v>
      </c>
      <c r="I180" t="s">
        <v>23</v>
      </c>
      <c r="J180" t="s">
        <v>24</v>
      </c>
    </row>
    <row r="181" spans="1:10" x14ac:dyDescent="0.25">
      <c r="A181" s="4" t="s">
        <v>275</v>
      </c>
      <c r="B181" s="1" t="s">
        <v>317</v>
      </c>
      <c r="C181" t="s">
        <v>449</v>
      </c>
      <c r="D181">
        <f>VLOOKUP(A181,Sayfa2!C:D,2,0)</f>
        <v>1.19</v>
      </c>
      <c r="G181" t="s">
        <v>22</v>
      </c>
      <c r="H181">
        <f>VLOOKUP(A181,Sayfa2!A:B,2,0)</f>
        <v>0.30499999999999999</v>
      </c>
      <c r="I181" t="s">
        <v>23</v>
      </c>
      <c r="J181" t="s">
        <v>24</v>
      </c>
    </row>
    <row r="182" spans="1:10" x14ac:dyDescent="0.25">
      <c r="A182" s="4" t="s">
        <v>276</v>
      </c>
      <c r="B182" s="1" t="s">
        <v>318</v>
      </c>
      <c r="C182" t="s">
        <v>449</v>
      </c>
      <c r="D182">
        <f>VLOOKUP(A182,Sayfa2!C:D,2,0)</f>
        <v>1.85</v>
      </c>
      <c r="G182" t="s">
        <v>22</v>
      </c>
      <c r="H182">
        <f>VLOOKUP(A182,Sayfa2!A:B,2,0)</f>
        <v>0.52200000000000002</v>
      </c>
      <c r="I182" t="s">
        <v>23</v>
      </c>
      <c r="J182" t="s">
        <v>24</v>
      </c>
    </row>
    <row r="183" spans="1:10" x14ac:dyDescent="0.25">
      <c r="A183" s="4" t="s">
        <v>277</v>
      </c>
      <c r="B183" s="1" t="s">
        <v>319</v>
      </c>
      <c r="C183" t="s">
        <v>449</v>
      </c>
      <c r="D183">
        <f>VLOOKUP(A183,Sayfa2!C:D,2,0)</f>
        <v>1.85</v>
      </c>
      <c r="G183" t="s">
        <v>22</v>
      </c>
      <c r="H183">
        <f>VLOOKUP(A183,Sayfa2!A:B,2,0)</f>
        <v>0.52200000000000002</v>
      </c>
      <c r="I183" t="s">
        <v>23</v>
      </c>
      <c r="J183" t="s">
        <v>24</v>
      </c>
    </row>
    <row r="184" spans="1:10" x14ac:dyDescent="0.25">
      <c r="A184" s="1" t="s">
        <v>355</v>
      </c>
      <c r="B184" s="13" t="s">
        <v>363</v>
      </c>
      <c r="C184" t="s">
        <v>450</v>
      </c>
      <c r="D184">
        <f>VLOOKUP(A184,Sayfa2!C:D,2,0)</f>
        <v>1.18</v>
      </c>
      <c r="G184" t="s">
        <v>22</v>
      </c>
      <c r="H184">
        <f>VLOOKUP(A184,Sayfa2!A:B,2,0)</f>
        <v>0.28000000000000003</v>
      </c>
      <c r="I184" t="s">
        <v>23</v>
      </c>
      <c r="J184" t="s">
        <v>24</v>
      </c>
    </row>
    <row r="185" spans="1:10" x14ac:dyDescent="0.25">
      <c r="A185" s="1" t="s">
        <v>356</v>
      </c>
      <c r="B185" s="13" t="s">
        <v>364</v>
      </c>
      <c r="C185" t="s">
        <v>450</v>
      </c>
      <c r="D185">
        <f>VLOOKUP(A185,Sayfa2!C:D,2,0)</f>
        <v>0.54</v>
      </c>
      <c r="G185" t="s">
        <v>22</v>
      </c>
      <c r="H185">
        <f>VLOOKUP(A185,Sayfa2!A:B,2,0)</f>
        <v>0.11</v>
      </c>
      <c r="I185" t="s">
        <v>23</v>
      </c>
      <c r="J185" t="s">
        <v>24</v>
      </c>
    </row>
    <row r="186" spans="1:10" x14ac:dyDescent="0.25">
      <c r="A186" s="1" t="s">
        <v>357</v>
      </c>
      <c r="B186" s="13" t="s">
        <v>365</v>
      </c>
      <c r="C186" t="s">
        <v>450</v>
      </c>
      <c r="D186">
        <f>VLOOKUP(A186,Sayfa2!C:D,2,0)</f>
        <v>0</v>
      </c>
      <c r="G186" t="s">
        <v>22</v>
      </c>
      <c r="H186">
        <f>VLOOKUP(A186,Sayfa2!A:B,2,0)</f>
        <v>0</v>
      </c>
      <c r="I186" t="s">
        <v>23</v>
      </c>
      <c r="J186" t="s">
        <v>24</v>
      </c>
    </row>
    <row r="187" spans="1:10" x14ac:dyDescent="0.25">
      <c r="A187" s="1" t="s">
        <v>358</v>
      </c>
      <c r="B187" s="13" t="s">
        <v>366</v>
      </c>
      <c r="C187" t="s">
        <v>450</v>
      </c>
      <c r="D187">
        <f>VLOOKUP(A187,Sayfa2!C:D,2,0)</f>
        <v>0</v>
      </c>
      <c r="G187" t="s">
        <v>22</v>
      </c>
      <c r="H187">
        <f>VLOOKUP(A187,Sayfa2!A:B,2,0)</f>
        <v>0</v>
      </c>
      <c r="I187" t="s">
        <v>23</v>
      </c>
      <c r="J187" t="s">
        <v>24</v>
      </c>
    </row>
    <row r="188" spans="1:10" x14ac:dyDescent="0.25">
      <c r="A188" s="1" t="s">
        <v>359</v>
      </c>
      <c r="B188" s="13" t="s">
        <v>367</v>
      </c>
      <c r="C188" t="s">
        <v>450</v>
      </c>
      <c r="D188">
        <f>VLOOKUP(A188,Sayfa2!C:D,2,0)</f>
        <v>0</v>
      </c>
      <c r="G188" t="s">
        <v>22</v>
      </c>
      <c r="H188">
        <f>VLOOKUP(A188,Sayfa2!A:B,2,0)</f>
        <v>0</v>
      </c>
      <c r="I188" t="s">
        <v>23</v>
      </c>
      <c r="J188" t="s">
        <v>24</v>
      </c>
    </row>
    <row r="189" spans="1:10" x14ac:dyDescent="0.25">
      <c r="A189" s="1" t="s">
        <v>360</v>
      </c>
      <c r="B189" s="13" t="s">
        <v>368</v>
      </c>
      <c r="C189" t="s">
        <v>450</v>
      </c>
      <c r="D189">
        <f>VLOOKUP(A189,Sayfa2!C:D,2,0)</f>
        <v>0</v>
      </c>
      <c r="G189" t="s">
        <v>22</v>
      </c>
      <c r="H189">
        <f>VLOOKUP(A189,Sayfa2!A:B,2,0)</f>
        <v>0</v>
      </c>
      <c r="I189" t="s">
        <v>23</v>
      </c>
      <c r="J189" t="s">
        <v>24</v>
      </c>
    </row>
    <row r="190" spans="1:10" x14ac:dyDescent="0.25">
      <c r="A190" s="1" t="s">
        <v>361</v>
      </c>
      <c r="B190" s="13" t="s">
        <v>369</v>
      </c>
      <c r="C190" t="s">
        <v>450</v>
      </c>
      <c r="D190">
        <f>VLOOKUP(A190,Sayfa2!C:D,2,0)</f>
        <v>0</v>
      </c>
      <c r="G190" t="s">
        <v>22</v>
      </c>
      <c r="H190">
        <f>VLOOKUP(A190,Sayfa2!A:B,2,0)</f>
        <v>0</v>
      </c>
      <c r="I190" t="s">
        <v>23</v>
      </c>
      <c r="J190" t="s">
        <v>24</v>
      </c>
    </row>
    <row r="191" spans="1:10" x14ac:dyDescent="0.25">
      <c r="A191" s="1" t="s">
        <v>362</v>
      </c>
      <c r="B191" s="13" t="s">
        <v>370</v>
      </c>
      <c r="C191" t="s">
        <v>450</v>
      </c>
      <c r="D191">
        <f>VLOOKUP(A191,Sayfa2!C:D,2,0)</f>
        <v>0</v>
      </c>
      <c r="G191" t="s">
        <v>22</v>
      </c>
      <c r="H191">
        <f>VLOOKUP(A191,Sayfa2!A:B,2,0)</f>
        <v>0</v>
      </c>
      <c r="I191" t="s">
        <v>23</v>
      </c>
      <c r="J191" t="s">
        <v>24</v>
      </c>
    </row>
    <row r="192" spans="1:10" x14ac:dyDescent="0.25">
      <c r="A192" s="1" t="str">
        <f>"OBR-"&amp;SUBSTITUTE(SUBSTITUTE(SUBSTITUTE(SUBSTITUTE(SUBSTITUTE(SUBSTITUTE(B192," ","-"),"R-","RUL-"),"-OBR",""),"SOMUN","NUT"),"FIBERLI","FBR"),"PUL","WSH")</f>
        <v>OBR-KM-0-NUT</v>
      </c>
      <c r="B192" s="13" t="s">
        <v>371</v>
      </c>
      <c r="C192" t="s">
        <v>451</v>
      </c>
      <c r="D192">
        <f>VLOOKUP(A192,Sayfa2!C:D,2,0)</f>
        <v>0</v>
      </c>
      <c r="G192" t="s">
        <v>22</v>
      </c>
      <c r="H192">
        <f>VLOOKUP(A192,Sayfa2!A:B,2,0)</f>
        <v>0</v>
      </c>
      <c r="I192" t="s">
        <v>23</v>
      </c>
      <c r="J192" t="s">
        <v>24</v>
      </c>
    </row>
    <row r="193" spans="1:10" x14ac:dyDescent="0.25">
      <c r="A193" s="1" t="str">
        <f t="shared" ref="A193:A256" si="3">"OBR-"&amp;SUBSTITUTE(SUBSTITUTE(SUBSTITUTE(SUBSTITUTE(SUBSTITUTE(SUBSTITUTE(B193," ","-"),"R-","RUL-"),"-OBR",""),"SOMUN","NUT"),"FIBERLI","FBR"),"PUL","WSH")</f>
        <v>OBR-KM-01-NUT</v>
      </c>
      <c r="B193" s="13" t="s">
        <v>372</v>
      </c>
      <c r="C193" t="s">
        <v>451</v>
      </c>
      <c r="D193">
        <f>VLOOKUP(A193,Sayfa2!C:D,2,0)</f>
        <v>0</v>
      </c>
      <c r="G193" t="s">
        <v>22</v>
      </c>
      <c r="H193">
        <f>VLOOKUP(A193,Sayfa2!A:B,2,0)</f>
        <v>0</v>
      </c>
      <c r="I193" t="s">
        <v>23</v>
      </c>
      <c r="J193" t="s">
        <v>24</v>
      </c>
    </row>
    <row r="194" spans="1:10" x14ac:dyDescent="0.25">
      <c r="A194" s="1" t="str">
        <f t="shared" si="3"/>
        <v>OBR-KM-02-NUT</v>
      </c>
      <c r="B194" s="13" t="s">
        <v>373</v>
      </c>
      <c r="C194" t="s">
        <v>451</v>
      </c>
      <c r="D194">
        <f>VLOOKUP(A194,Sayfa2!C:D,2,0)</f>
        <v>0</v>
      </c>
      <c r="G194" t="s">
        <v>22</v>
      </c>
      <c r="H194">
        <f>VLOOKUP(A194,Sayfa2!A:B,2,0)</f>
        <v>0</v>
      </c>
      <c r="I194" t="s">
        <v>23</v>
      </c>
      <c r="J194" t="s">
        <v>24</v>
      </c>
    </row>
    <row r="195" spans="1:10" x14ac:dyDescent="0.25">
      <c r="A195" s="1" t="str">
        <f t="shared" si="3"/>
        <v>OBR-KM-03-NUT</v>
      </c>
      <c r="B195" s="13" t="s">
        <v>374</v>
      </c>
      <c r="C195" t="s">
        <v>451</v>
      </c>
      <c r="D195">
        <f>VLOOKUP(A195,Sayfa2!C:D,2,0)</f>
        <v>0</v>
      </c>
      <c r="G195" t="s">
        <v>22</v>
      </c>
      <c r="H195">
        <f>VLOOKUP(A195,Sayfa2!A:B,2,0)</f>
        <v>0</v>
      </c>
      <c r="I195" t="s">
        <v>23</v>
      </c>
      <c r="J195" t="s">
        <v>24</v>
      </c>
    </row>
    <row r="196" spans="1:10" x14ac:dyDescent="0.25">
      <c r="A196" s="1" t="str">
        <f t="shared" si="3"/>
        <v>OBR-KM-04-NUT</v>
      </c>
      <c r="B196" s="13" t="s">
        <v>375</v>
      </c>
      <c r="C196" t="s">
        <v>451</v>
      </c>
      <c r="D196">
        <f>VLOOKUP(A196,Sayfa2!C:D,2,0)</f>
        <v>0</v>
      </c>
      <c r="G196" t="s">
        <v>22</v>
      </c>
      <c r="H196">
        <f>VLOOKUP(A196,Sayfa2!A:B,2,0)</f>
        <v>0</v>
      </c>
      <c r="I196" t="s">
        <v>23</v>
      </c>
      <c r="J196" t="s">
        <v>24</v>
      </c>
    </row>
    <row r="197" spans="1:10" x14ac:dyDescent="0.25">
      <c r="A197" s="1" t="str">
        <f t="shared" si="3"/>
        <v>OBR-KM-05-NUT</v>
      </c>
      <c r="B197" s="13" t="s">
        <v>376</v>
      </c>
      <c r="C197" t="s">
        <v>451</v>
      </c>
      <c r="D197">
        <f>VLOOKUP(A197,Sayfa2!C:D,2,0)</f>
        <v>0</v>
      </c>
      <c r="G197" t="s">
        <v>22</v>
      </c>
      <c r="H197">
        <f>VLOOKUP(A197,Sayfa2!A:B,2,0)</f>
        <v>0</v>
      </c>
      <c r="I197" t="s">
        <v>23</v>
      </c>
      <c r="J197" t="s">
        <v>24</v>
      </c>
    </row>
    <row r="198" spans="1:10" x14ac:dyDescent="0.25">
      <c r="A198" s="1" t="str">
        <f t="shared" si="3"/>
        <v>OBR-KM-06-NUT</v>
      </c>
      <c r="B198" s="13" t="s">
        <v>377</v>
      </c>
      <c r="C198" t="s">
        <v>451</v>
      </c>
      <c r="D198">
        <f>VLOOKUP(A198,Sayfa2!C:D,2,0)</f>
        <v>0</v>
      </c>
      <c r="G198" t="s">
        <v>22</v>
      </c>
      <c r="H198">
        <f>VLOOKUP(A198,Sayfa2!A:B,2,0)</f>
        <v>0</v>
      </c>
      <c r="I198" t="s">
        <v>23</v>
      </c>
      <c r="J198" t="s">
        <v>24</v>
      </c>
    </row>
    <row r="199" spans="1:10" x14ac:dyDescent="0.25">
      <c r="A199" s="1" t="str">
        <f t="shared" si="3"/>
        <v>OBR-KM-07-NUT</v>
      </c>
      <c r="B199" s="13" t="s">
        <v>378</v>
      </c>
      <c r="C199" t="s">
        <v>451</v>
      </c>
      <c r="D199">
        <f>VLOOKUP(A199,Sayfa2!C:D,2,0)</f>
        <v>0</v>
      </c>
      <c r="G199" t="s">
        <v>22</v>
      </c>
      <c r="H199">
        <f>VLOOKUP(A199,Sayfa2!A:B,2,0)</f>
        <v>0</v>
      </c>
      <c r="I199" t="s">
        <v>23</v>
      </c>
      <c r="J199" t="s">
        <v>24</v>
      </c>
    </row>
    <row r="200" spans="1:10" x14ac:dyDescent="0.25">
      <c r="A200" s="1" t="str">
        <f t="shared" si="3"/>
        <v>OBR-KM-08-NUT</v>
      </c>
      <c r="B200" s="13" t="s">
        <v>379</v>
      </c>
      <c r="C200" t="s">
        <v>451</v>
      </c>
      <c r="D200">
        <f>VLOOKUP(A200,Sayfa2!C:D,2,0)</f>
        <v>0</v>
      </c>
      <c r="G200" t="s">
        <v>22</v>
      </c>
      <c r="H200">
        <f>VLOOKUP(A200,Sayfa2!A:B,2,0)</f>
        <v>0</v>
      </c>
      <c r="I200" t="s">
        <v>23</v>
      </c>
      <c r="J200" t="s">
        <v>24</v>
      </c>
    </row>
    <row r="201" spans="1:10" x14ac:dyDescent="0.25">
      <c r="A201" s="1" t="str">
        <f t="shared" si="3"/>
        <v>OBR-KM-09-NUT</v>
      </c>
      <c r="B201" s="13" t="s">
        <v>380</v>
      </c>
      <c r="C201" t="s">
        <v>451</v>
      </c>
      <c r="D201">
        <f>VLOOKUP(A201,Sayfa2!C:D,2,0)</f>
        <v>0</v>
      </c>
      <c r="G201" t="s">
        <v>22</v>
      </c>
      <c r="H201">
        <f>VLOOKUP(A201,Sayfa2!A:B,2,0)</f>
        <v>0</v>
      </c>
      <c r="I201" t="s">
        <v>23</v>
      </c>
      <c r="J201" t="s">
        <v>24</v>
      </c>
    </row>
    <row r="202" spans="1:10" x14ac:dyDescent="0.25">
      <c r="A202" s="1" t="str">
        <f t="shared" si="3"/>
        <v>OBR-KM-10-NUT</v>
      </c>
      <c r="B202" s="13" t="s">
        <v>381</v>
      </c>
      <c r="C202" t="s">
        <v>451</v>
      </c>
      <c r="D202">
        <f>VLOOKUP(A202,Sayfa2!C:D,2,0)</f>
        <v>0</v>
      </c>
      <c r="G202" t="s">
        <v>22</v>
      </c>
      <c r="H202">
        <f>VLOOKUP(A202,Sayfa2!A:B,2,0)</f>
        <v>0</v>
      </c>
      <c r="I202" t="s">
        <v>23</v>
      </c>
      <c r="J202" t="s">
        <v>24</v>
      </c>
    </row>
    <row r="203" spans="1:10" x14ac:dyDescent="0.25">
      <c r="A203" s="1" t="str">
        <f t="shared" si="3"/>
        <v>OBR-KM-11-NUT</v>
      </c>
      <c r="B203" s="13" t="s">
        <v>382</v>
      </c>
      <c r="C203" t="s">
        <v>451</v>
      </c>
      <c r="D203">
        <f>VLOOKUP(A203,Sayfa2!C:D,2,0)</f>
        <v>0</v>
      </c>
      <c r="G203" t="s">
        <v>22</v>
      </c>
      <c r="H203">
        <f>VLOOKUP(A203,Sayfa2!A:B,2,0)</f>
        <v>0</v>
      </c>
      <c r="I203" t="s">
        <v>23</v>
      </c>
      <c r="J203" t="s">
        <v>24</v>
      </c>
    </row>
    <row r="204" spans="1:10" x14ac:dyDescent="0.25">
      <c r="A204" s="1" t="str">
        <f t="shared" si="3"/>
        <v>OBR-KM-12-NUT</v>
      </c>
      <c r="B204" s="13" t="s">
        <v>383</v>
      </c>
      <c r="C204" t="s">
        <v>451</v>
      </c>
      <c r="D204">
        <f>VLOOKUP(A204,Sayfa2!C:D,2,0)</f>
        <v>0</v>
      </c>
      <c r="G204" t="s">
        <v>22</v>
      </c>
      <c r="H204">
        <f>VLOOKUP(A204,Sayfa2!A:B,2,0)</f>
        <v>0</v>
      </c>
      <c r="I204" t="s">
        <v>23</v>
      </c>
      <c r="J204" t="s">
        <v>24</v>
      </c>
    </row>
    <row r="205" spans="1:10" x14ac:dyDescent="0.25">
      <c r="A205" s="1" t="str">
        <f t="shared" si="3"/>
        <v>OBR-KM-13-NUT</v>
      </c>
      <c r="B205" s="13" t="s">
        <v>384</v>
      </c>
      <c r="C205" t="s">
        <v>451</v>
      </c>
      <c r="D205">
        <f>VLOOKUP(A205,Sayfa2!C:D,2,0)</f>
        <v>0</v>
      </c>
      <c r="G205" t="s">
        <v>22</v>
      </c>
      <c r="H205">
        <f>VLOOKUP(A205,Sayfa2!A:B,2,0)</f>
        <v>0</v>
      </c>
      <c r="I205" t="s">
        <v>23</v>
      </c>
      <c r="J205" t="s">
        <v>24</v>
      </c>
    </row>
    <row r="206" spans="1:10" x14ac:dyDescent="0.25">
      <c r="A206" s="1" t="str">
        <f t="shared" si="3"/>
        <v>OBR-KM-14-NUT</v>
      </c>
      <c r="B206" s="13" t="s">
        <v>385</v>
      </c>
      <c r="C206" t="s">
        <v>451</v>
      </c>
      <c r="D206">
        <f>VLOOKUP(A206,Sayfa2!C:D,2,0)</f>
        <v>0</v>
      </c>
      <c r="G206" t="s">
        <v>22</v>
      </c>
      <c r="H206">
        <f>VLOOKUP(A206,Sayfa2!A:B,2,0)</f>
        <v>0</v>
      </c>
      <c r="I206" t="s">
        <v>23</v>
      </c>
      <c r="J206" t="s">
        <v>24</v>
      </c>
    </row>
    <row r="207" spans="1:10" x14ac:dyDescent="0.25">
      <c r="A207" s="1" t="str">
        <f t="shared" si="3"/>
        <v>OBR-KM-15-NUT</v>
      </c>
      <c r="B207" s="13" t="s">
        <v>386</v>
      </c>
      <c r="C207" t="s">
        <v>451</v>
      </c>
      <c r="D207">
        <f>VLOOKUP(A207,Sayfa2!C:D,2,0)</f>
        <v>0</v>
      </c>
      <c r="G207" t="s">
        <v>22</v>
      </c>
      <c r="H207">
        <f>VLOOKUP(A207,Sayfa2!A:B,2,0)</f>
        <v>0</v>
      </c>
      <c r="I207" t="s">
        <v>23</v>
      </c>
      <c r="J207" t="s">
        <v>24</v>
      </c>
    </row>
    <row r="208" spans="1:10" x14ac:dyDescent="0.25">
      <c r="A208" s="1" t="str">
        <f t="shared" si="3"/>
        <v>OBR-KM-16-NUT</v>
      </c>
      <c r="B208" s="13" t="s">
        <v>387</v>
      </c>
      <c r="C208" t="s">
        <v>451</v>
      </c>
      <c r="D208">
        <f>VLOOKUP(A208,Sayfa2!C:D,2,0)</f>
        <v>0</v>
      </c>
      <c r="G208" t="s">
        <v>22</v>
      </c>
      <c r="H208">
        <f>VLOOKUP(A208,Sayfa2!A:B,2,0)</f>
        <v>0</v>
      </c>
      <c r="I208" t="s">
        <v>23</v>
      </c>
      <c r="J208" t="s">
        <v>24</v>
      </c>
    </row>
    <row r="209" spans="1:10" x14ac:dyDescent="0.25">
      <c r="A209" s="1" t="str">
        <f t="shared" si="3"/>
        <v>OBR-KM-17-NUT</v>
      </c>
      <c r="B209" s="13" t="s">
        <v>388</v>
      </c>
      <c r="C209" t="s">
        <v>451</v>
      </c>
      <c r="D209">
        <f>VLOOKUP(A209,Sayfa2!C:D,2,0)</f>
        <v>0</v>
      </c>
      <c r="G209" t="s">
        <v>22</v>
      </c>
      <c r="H209">
        <f>VLOOKUP(A209,Sayfa2!A:B,2,0)</f>
        <v>0</v>
      </c>
      <c r="I209" t="s">
        <v>23</v>
      </c>
      <c r="J209" t="s">
        <v>24</v>
      </c>
    </row>
    <row r="210" spans="1:10" x14ac:dyDescent="0.25">
      <c r="A210" s="1" t="str">
        <f t="shared" si="3"/>
        <v>OBR-KM-18-NUT</v>
      </c>
      <c r="B210" s="13" t="s">
        <v>389</v>
      </c>
      <c r="C210" t="s">
        <v>451</v>
      </c>
      <c r="D210">
        <f>VLOOKUP(A210,Sayfa2!C:D,2,0)</f>
        <v>0</v>
      </c>
      <c r="G210" t="s">
        <v>22</v>
      </c>
      <c r="H210">
        <f>VLOOKUP(A210,Sayfa2!A:B,2,0)</f>
        <v>0</v>
      </c>
      <c r="I210" t="s">
        <v>23</v>
      </c>
      <c r="J210" t="s">
        <v>24</v>
      </c>
    </row>
    <row r="211" spans="1:10" x14ac:dyDescent="0.25">
      <c r="A211" s="1" t="str">
        <f t="shared" si="3"/>
        <v>OBR-KM-19-NUT</v>
      </c>
      <c r="B211" s="13" t="s">
        <v>390</v>
      </c>
      <c r="C211" t="s">
        <v>451</v>
      </c>
      <c r="D211">
        <f>VLOOKUP(A211,Sayfa2!C:D,2,0)</f>
        <v>0</v>
      </c>
      <c r="G211" t="s">
        <v>22</v>
      </c>
      <c r="H211">
        <f>VLOOKUP(A211,Sayfa2!A:B,2,0)</f>
        <v>0</v>
      </c>
      <c r="I211" t="s">
        <v>23</v>
      </c>
      <c r="J211" t="s">
        <v>24</v>
      </c>
    </row>
    <row r="212" spans="1:10" x14ac:dyDescent="0.25">
      <c r="A212" s="1" t="str">
        <f t="shared" si="3"/>
        <v>OBR-KM-20-NUT</v>
      </c>
      <c r="B212" s="13" t="s">
        <v>391</v>
      </c>
      <c r="C212" t="s">
        <v>451</v>
      </c>
      <c r="D212">
        <f>VLOOKUP(A212,Sayfa2!C:D,2,0)</f>
        <v>0</v>
      </c>
      <c r="G212" t="s">
        <v>22</v>
      </c>
      <c r="H212">
        <f>VLOOKUP(A212,Sayfa2!A:B,2,0)</f>
        <v>0</v>
      </c>
      <c r="I212" t="s">
        <v>23</v>
      </c>
      <c r="J212" t="s">
        <v>24</v>
      </c>
    </row>
    <row r="213" spans="1:10" x14ac:dyDescent="0.25">
      <c r="A213" s="1" t="str">
        <f t="shared" si="3"/>
        <v>OBR-KM-22-NUT</v>
      </c>
      <c r="B213" s="13" t="s">
        <v>392</v>
      </c>
      <c r="C213" t="s">
        <v>451</v>
      </c>
      <c r="D213">
        <f>VLOOKUP(A213,Sayfa2!C:D,2,0)</f>
        <v>0</v>
      </c>
      <c r="G213" t="s">
        <v>22</v>
      </c>
      <c r="H213">
        <f>VLOOKUP(A213,Sayfa2!A:B,2,0)</f>
        <v>0</v>
      </c>
      <c r="I213" t="s">
        <v>23</v>
      </c>
      <c r="J213" t="s">
        <v>24</v>
      </c>
    </row>
    <row r="214" spans="1:10" x14ac:dyDescent="0.25">
      <c r="A214" s="1" t="str">
        <f t="shared" si="3"/>
        <v>OBR-KM-23-NUT</v>
      </c>
      <c r="B214" s="13" t="s">
        <v>393</v>
      </c>
      <c r="C214" t="s">
        <v>451</v>
      </c>
      <c r="D214">
        <f>VLOOKUP(A214,Sayfa2!C:D,2,0)</f>
        <v>0</v>
      </c>
      <c r="G214" t="s">
        <v>22</v>
      </c>
      <c r="H214">
        <f>VLOOKUP(A214,Sayfa2!A:B,2,0)</f>
        <v>0</v>
      </c>
      <c r="I214" t="s">
        <v>23</v>
      </c>
      <c r="J214" t="s">
        <v>24</v>
      </c>
    </row>
    <row r="215" spans="1:10" x14ac:dyDescent="0.25">
      <c r="A215" s="1" t="str">
        <f t="shared" si="3"/>
        <v>OBR-KM-24-NUT</v>
      </c>
      <c r="B215" s="13" t="s">
        <v>394</v>
      </c>
      <c r="C215" t="s">
        <v>451</v>
      </c>
      <c r="D215">
        <f>VLOOKUP(A215,Sayfa2!C:D,2,0)</f>
        <v>0</v>
      </c>
      <c r="G215" t="s">
        <v>22</v>
      </c>
      <c r="H215">
        <f>VLOOKUP(A215,Sayfa2!A:B,2,0)</f>
        <v>0</v>
      </c>
      <c r="I215" t="s">
        <v>23</v>
      </c>
      <c r="J215" t="s">
        <v>24</v>
      </c>
    </row>
    <row r="216" spans="1:10" x14ac:dyDescent="0.25">
      <c r="A216" s="1" t="str">
        <f t="shared" si="3"/>
        <v>OBR-KM-25-NUT</v>
      </c>
      <c r="B216" s="13" t="s">
        <v>395</v>
      </c>
      <c r="C216" t="s">
        <v>451</v>
      </c>
      <c r="D216">
        <f>VLOOKUP(A216,Sayfa2!C:D,2,0)</f>
        <v>0</v>
      </c>
      <c r="G216" t="s">
        <v>22</v>
      </c>
      <c r="H216">
        <f>VLOOKUP(A216,Sayfa2!A:B,2,0)</f>
        <v>0</v>
      </c>
      <c r="I216" t="s">
        <v>23</v>
      </c>
      <c r="J216" t="s">
        <v>24</v>
      </c>
    </row>
    <row r="217" spans="1:10" x14ac:dyDescent="0.25">
      <c r="A217" s="1" t="str">
        <f t="shared" si="3"/>
        <v>OBR-KM-26-NUT</v>
      </c>
      <c r="B217" s="13" t="s">
        <v>396</v>
      </c>
      <c r="C217" t="s">
        <v>451</v>
      </c>
      <c r="D217">
        <f>VLOOKUP(A217,Sayfa2!C:D,2,0)</f>
        <v>0</v>
      </c>
      <c r="G217" t="s">
        <v>22</v>
      </c>
      <c r="H217">
        <f>VLOOKUP(A217,Sayfa2!A:B,2,0)</f>
        <v>0</v>
      </c>
      <c r="I217" t="s">
        <v>23</v>
      </c>
      <c r="J217" t="s">
        <v>24</v>
      </c>
    </row>
    <row r="218" spans="1:10" x14ac:dyDescent="0.25">
      <c r="A218" s="1" t="str">
        <f t="shared" si="3"/>
        <v>OBR-KM-28-NUT</v>
      </c>
      <c r="B218" s="13" t="s">
        <v>397</v>
      </c>
      <c r="C218" t="s">
        <v>451</v>
      </c>
      <c r="D218">
        <f>VLOOKUP(A218,Sayfa2!C:D,2,0)</f>
        <v>0</v>
      </c>
      <c r="G218" t="s">
        <v>22</v>
      </c>
      <c r="H218">
        <f>VLOOKUP(A218,Sayfa2!A:B,2,0)</f>
        <v>0</v>
      </c>
      <c r="I218" t="s">
        <v>23</v>
      </c>
      <c r="J218" t="s">
        <v>24</v>
      </c>
    </row>
    <row r="219" spans="1:10" x14ac:dyDescent="0.25">
      <c r="A219" s="1" t="str">
        <f t="shared" si="3"/>
        <v>OBR-KM-29-NUT</v>
      </c>
      <c r="B219" s="13" t="s">
        <v>398</v>
      </c>
      <c r="C219" t="s">
        <v>451</v>
      </c>
      <c r="D219">
        <f>VLOOKUP(A219,Sayfa2!C:D,2,0)</f>
        <v>0</v>
      </c>
      <c r="G219" t="s">
        <v>22</v>
      </c>
      <c r="H219">
        <f>VLOOKUP(A219,Sayfa2!A:B,2,0)</f>
        <v>0</v>
      </c>
      <c r="I219" t="s">
        <v>23</v>
      </c>
      <c r="J219" t="s">
        <v>24</v>
      </c>
    </row>
    <row r="220" spans="1:10" x14ac:dyDescent="0.25">
      <c r="A220" s="1" t="str">
        <f t="shared" si="3"/>
        <v>OBR-KM-38-NUT</v>
      </c>
      <c r="B220" s="13" t="s">
        <v>399</v>
      </c>
      <c r="C220" t="s">
        <v>451</v>
      </c>
      <c r="D220">
        <f>VLOOKUP(A220,Sayfa2!C:D,2,0)</f>
        <v>0</v>
      </c>
      <c r="G220" t="s">
        <v>22</v>
      </c>
      <c r="H220">
        <f>VLOOKUP(A220,Sayfa2!A:B,2,0)</f>
        <v>0</v>
      </c>
      <c r="I220" t="s">
        <v>23</v>
      </c>
      <c r="J220" t="s">
        <v>24</v>
      </c>
    </row>
    <row r="221" spans="1:10" x14ac:dyDescent="0.25">
      <c r="A221" s="1" t="str">
        <f t="shared" si="3"/>
        <v>OBR-KM-0-NUT-FBR</v>
      </c>
      <c r="B221" s="13" t="s">
        <v>400</v>
      </c>
      <c r="C221" t="s">
        <v>451</v>
      </c>
      <c r="D221">
        <f>VLOOKUP(A221,Sayfa2!C:D,2,0)</f>
        <v>0.27</v>
      </c>
      <c r="G221" t="s">
        <v>22</v>
      </c>
      <c r="H221">
        <f>VLOOKUP(A221,Sayfa2!A:B,2,0)</f>
        <v>0</v>
      </c>
      <c r="I221" t="s">
        <v>23</v>
      </c>
      <c r="J221" t="s">
        <v>24</v>
      </c>
    </row>
    <row r="222" spans="1:10" x14ac:dyDescent="0.25">
      <c r="A222" s="1" t="str">
        <f t="shared" si="3"/>
        <v>OBR-KM-01-NUT-FBR</v>
      </c>
      <c r="B222" s="13" t="s">
        <v>401</v>
      </c>
      <c r="C222" t="s">
        <v>451</v>
      </c>
      <c r="D222">
        <f>VLOOKUP(A222,Sayfa2!C:D,2,0)</f>
        <v>0.28999999999999998</v>
      </c>
      <c r="G222" t="s">
        <v>22</v>
      </c>
      <c r="H222">
        <f>VLOOKUP(A222,Sayfa2!A:B,2,0)</f>
        <v>0</v>
      </c>
      <c r="I222" t="s">
        <v>23</v>
      </c>
      <c r="J222" t="s">
        <v>24</v>
      </c>
    </row>
    <row r="223" spans="1:10" x14ac:dyDescent="0.25">
      <c r="A223" s="1" t="str">
        <f t="shared" si="3"/>
        <v>OBR-KM-02-NUT-FBR</v>
      </c>
      <c r="B223" s="13" t="s">
        <v>402</v>
      </c>
      <c r="C223" t="s">
        <v>451</v>
      </c>
      <c r="D223">
        <f>VLOOKUP(A223,Sayfa2!C:D,2,0)</f>
        <v>0.44</v>
      </c>
      <c r="G223" t="s">
        <v>22</v>
      </c>
      <c r="H223">
        <f>VLOOKUP(A223,Sayfa2!A:B,2,0)</f>
        <v>0</v>
      </c>
      <c r="I223" t="s">
        <v>23</v>
      </c>
      <c r="J223" t="s">
        <v>24</v>
      </c>
    </row>
    <row r="224" spans="1:10" x14ac:dyDescent="0.25">
      <c r="A224" s="1" t="str">
        <f t="shared" si="3"/>
        <v>OBR-KM-03-NUT-FBR</v>
      </c>
      <c r="B224" s="13" t="s">
        <v>403</v>
      </c>
      <c r="C224" t="s">
        <v>451</v>
      </c>
      <c r="D224">
        <f>VLOOKUP(A224,Sayfa2!C:D,2,0)</f>
        <v>0.51</v>
      </c>
      <c r="G224" t="s">
        <v>22</v>
      </c>
      <c r="H224">
        <f>VLOOKUP(A224,Sayfa2!A:B,2,0)</f>
        <v>0</v>
      </c>
      <c r="I224" t="s">
        <v>23</v>
      </c>
      <c r="J224" t="s">
        <v>24</v>
      </c>
    </row>
    <row r="225" spans="1:10" x14ac:dyDescent="0.25">
      <c r="A225" s="1" t="str">
        <f t="shared" si="3"/>
        <v>OBR-KM-04-NUT-FBR</v>
      </c>
      <c r="B225" s="13" t="s">
        <v>404</v>
      </c>
      <c r="C225" t="s">
        <v>451</v>
      </c>
      <c r="D225">
        <f>VLOOKUP(A225,Sayfa2!C:D,2,0)</f>
        <v>0.59</v>
      </c>
      <c r="G225" t="s">
        <v>22</v>
      </c>
      <c r="H225">
        <f>VLOOKUP(A225,Sayfa2!A:B,2,0)</f>
        <v>0</v>
      </c>
      <c r="I225" t="s">
        <v>23</v>
      </c>
      <c r="J225" t="s">
        <v>24</v>
      </c>
    </row>
    <row r="226" spans="1:10" x14ac:dyDescent="0.25">
      <c r="A226" s="1" t="str">
        <f t="shared" si="3"/>
        <v>OBR-KM-05-NUT-FBR</v>
      </c>
      <c r="B226" s="13" t="s">
        <v>405</v>
      </c>
      <c r="C226" t="s">
        <v>451</v>
      </c>
      <c r="D226">
        <f>VLOOKUP(A226,Sayfa2!C:D,2,0)</f>
        <v>0.68</v>
      </c>
      <c r="G226" t="s">
        <v>22</v>
      </c>
      <c r="H226">
        <f>VLOOKUP(A226,Sayfa2!A:B,2,0)</f>
        <v>0</v>
      </c>
      <c r="I226" t="s">
        <v>23</v>
      </c>
      <c r="J226" t="s">
        <v>24</v>
      </c>
    </row>
    <row r="227" spans="1:10" x14ac:dyDescent="0.25">
      <c r="A227" s="1" t="str">
        <f t="shared" si="3"/>
        <v>OBR-KM-06-NUT-FBR</v>
      </c>
      <c r="B227" s="13" t="s">
        <v>406</v>
      </c>
      <c r="C227" t="s">
        <v>451</v>
      </c>
      <c r="D227">
        <f>VLOOKUP(A227,Sayfa2!C:D,2,0)</f>
        <v>0.93</v>
      </c>
      <c r="G227" t="s">
        <v>22</v>
      </c>
      <c r="H227">
        <f>VLOOKUP(A227,Sayfa2!A:B,2,0)</f>
        <v>0</v>
      </c>
      <c r="I227" t="s">
        <v>23</v>
      </c>
      <c r="J227" t="s">
        <v>24</v>
      </c>
    </row>
    <row r="228" spans="1:10" x14ac:dyDescent="0.25">
      <c r="A228" s="1" t="str">
        <f t="shared" si="3"/>
        <v>OBR-KM-07-NUT-FBR</v>
      </c>
      <c r="B228" s="13" t="s">
        <v>407</v>
      </c>
      <c r="C228" t="s">
        <v>451</v>
      </c>
      <c r="D228">
        <f>VLOOKUP(A228,Sayfa2!C:D,2,0)</f>
        <v>1</v>
      </c>
      <c r="G228" t="s">
        <v>22</v>
      </c>
      <c r="H228">
        <f>VLOOKUP(A228,Sayfa2!A:B,2,0)</f>
        <v>0</v>
      </c>
      <c r="I228" t="s">
        <v>23</v>
      </c>
      <c r="J228" t="s">
        <v>24</v>
      </c>
    </row>
    <row r="229" spans="1:10" x14ac:dyDescent="0.25">
      <c r="A229" s="1" t="str">
        <f t="shared" si="3"/>
        <v>OBR-KM-08-NUT-FBR</v>
      </c>
      <c r="B229" s="13" t="s">
        <v>408</v>
      </c>
      <c r="C229" t="s">
        <v>451</v>
      </c>
      <c r="D229">
        <f>VLOOKUP(A229,Sayfa2!C:D,2,0)</f>
        <v>1.1499999999999999</v>
      </c>
      <c r="G229" t="s">
        <v>22</v>
      </c>
      <c r="H229">
        <f>VLOOKUP(A229,Sayfa2!A:B,2,0)</f>
        <v>0</v>
      </c>
      <c r="I229" t="s">
        <v>23</v>
      </c>
      <c r="J229" t="s">
        <v>24</v>
      </c>
    </row>
    <row r="230" spans="1:10" x14ac:dyDescent="0.25">
      <c r="A230" s="1" t="str">
        <f t="shared" si="3"/>
        <v>OBR-KM-09-NUT-FBR</v>
      </c>
      <c r="B230" s="13" t="s">
        <v>409</v>
      </c>
      <c r="C230" t="s">
        <v>451</v>
      </c>
      <c r="D230">
        <f>VLOOKUP(A230,Sayfa2!C:D,2,0)</f>
        <v>1.34</v>
      </c>
      <c r="G230" t="s">
        <v>22</v>
      </c>
      <c r="H230">
        <f>VLOOKUP(A230,Sayfa2!A:B,2,0)</f>
        <v>0</v>
      </c>
      <c r="I230" t="s">
        <v>23</v>
      </c>
      <c r="J230" t="s">
        <v>24</v>
      </c>
    </row>
    <row r="231" spans="1:10" x14ac:dyDescent="0.25">
      <c r="A231" s="1" t="str">
        <f t="shared" si="3"/>
        <v>OBR-KM-10-NUT-FBR</v>
      </c>
      <c r="B231" s="13" t="s">
        <v>410</v>
      </c>
      <c r="C231" t="s">
        <v>451</v>
      </c>
      <c r="D231">
        <f>VLOOKUP(A231,Sayfa2!C:D,2,0)</f>
        <v>1.52</v>
      </c>
      <c r="G231" t="s">
        <v>22</v>
      </c>
      <c r="H231">
        <f>VLOOKUP(A231,Sayfa2!A:B,2,0)</f>
        <v>0</v>
      </c>
      <c r="I231" t="s">
        <v>23</v>
      </c>
      <c r="J231" t="s">
        <v>24</v>
      </c>
    </row>
    <row r="232" spans="1:10" x14ac:dyDescent="0.25">
      <c r="A232" s="1" t="str">
        <f t="shared" si="3"/>
        <v>OBR-KM-11-NUT-FBR</v>
      </c>
      <c r="B232" s="13" t="s">
        <v>411</v>
      </c>
      <c r="C232" t="s">
        <v>451</v>
      </c>
      <c r="D232">
        <f>VLOOKUP(A232,Sayfa2!C:D,2,0)</f>
        <v>1.69</v>
      </c>
      <c r="G232" t="s">
        <v>22</v>
      </c>
      <c r="H232">
        <f>VLOOKUP(A232,Sayfa2!A:B,2,0)</f>
        <v>0</v>
      </c>
      <c r="I232" t="s">
        <v>23</v>
      </c>
      <c r="J232" t="s">
        <v>24</v>
      </c>
    </row>
    <row r="233" spans="1:10" x14ac:dyDescent="0.25">
      <c r="A233" s="1" t="str">
        <f t="shared" si="3"/>
        <v>OBR-KM-12-NUT-FBR</v>
      </c>
      <c r="B233" s="13" t="s">
        <v>412</v>
      </c>
      <c r="C233" t="s">
        <v>451</v>
      </c>
      <c r="D233">
        <f>VLOOKUP(A233,Sayfa2!C:D,2,0)</f>
        <v>2.54</v>
      </c>
      <c r="G233" t="s">
        <v>22</v>
      </c>
      <c r="H233">
        <f>VLOOKUP(A233,Sayfa2!A:B,2,0)</f>
        <v>0</v>
      </c>
      <c r="I233" t="s">
        <v>23</v>
      </c>
      <c r="J233" t="s">
        <v>24</v>
      </c>
    </row>
    <row r="234" spans="1:10" x14ac:dyDescent="0.25">
      <c r="A234" s="1" t="str">
        <f t="shared" si="3"/>
        <v>OBR-KM-13-NUT-FBR</v>
      </c>
      <c r="B234" s="13" t="s">
        <v>413</v>
      </c>
      <c r="C234" t="s">
        <v>451</v>
      </c>
      <c r="D234">
        <f>VLOOKUP(A234,Sayfa2!C:D,2,0)</f>
        <v>2.74</v>
      </c>
      <c r="G234" t="s">
        <v>22</v>
      </c>
      <c r="H234">
        <f>VLOOKUP(A234,Sayfa2!A:B,2,0)</f>
        <v>0</v>
      </c>
      <c r="I234" t="s">
        <v>23</v>
      </c>
      <c r="J234" t="s">
        <v>24</v>
      </c>
    </row>
    <row r="235" spans="1:10" x14ac:dyDescent="0.25">
      <c r="A235" s="1" t="str">
        <f t="shared" si="3"/>
        <v>OBR-KM-14-NUT-FBR</v>
      </c>
      <c r="B235" s="13" t="s">
        <v>414</v>
      </c>
      <c r="C235" t="s">
        <v>451</v>
      </c>
      <c r="D235">
        <f>VLOOKUP(A235,Sayfa2!C:D,2,0)</f>
        <v>2.96</v>
      </c>
      <c r="G235" t="s">
        <v>22</v>
      </c>
      <c r="H235">
        <f>VLOOKUP(A235,Sayfa2!A:B,2,0)</f>
        <v>0</v>
      </c>
      <c r="I235" t="s">
        <v>23</v>
      </c>
      <c r="J235" t="s">
        <v>24</v>
      </c>
    </row>
    <row r="236" spans="1:10" x14ac:dyDescent="0.25">
      <c r="A236" s="1" t="str">
        <f t="shared" si="3"/>
        <v>OBR-KM-15-NUT-FBR</v>
      </c>
      <c r="B236" s="13" t="s">
        <v>415</v>
      </c>
      <c r="C236" t="s">
        <v>451</v>
      </c>
      <c r="D236">
        <f>VLOOKUP(A236,Sayfa2!C:D,2,0)</f>
        <v>3.19</v>
      </c>
      <c r="G236" t="s">
        <v>22</v>
      </c>
      <c r="H236">
        <f>VLOOKUP(A236,Sayfa2!A:B,2,0)</f>
        <v>0</v>
      </c>
      <c r="I236" t="s">
        <v>23</v>
      </c>
      <c r="J236" t="s">
        <v>24</v>
      </c>
    </row>
    <row r="237" spans="1:10" x14ac:dyDescent="0.25">
      <c r="A237" s="1" t="str">
        <f t="shared" si="3"/>
        <v>OBR-MB-0-WSH</v>
      </c>
      <c r="B237" s="13" t="s">
        <v>416</v>
      </c>
      <c r="C237" t="s">
        <v>451</v>
      </c>
      <c r="D237">
        <f>VLOOKUP(A237,Sayfa2!C:D,2,0)</f>
        <v>0.03</v>
      </c>
      <c r="G237" t="s">
        <v>22</v>
      </c>
      <c r="H237">
        <f>VLOOKUP(A237,Sayfa2!A:B,2,0)</f>
        <v>0</v>
      </c>
      <c r="I237" t="s">
        <v>23</v>
      </c>
      <c r="J237" t="s">
        <v>24</v>
      </c>
    </row>
    <row r="238" spans="1:10" x14ac:dyDescent="0.25">
      <c r="A238" s="1" t="str">
        <f t="shared" si="3"/>
        <v>OBR-MB-01-WSH</v>
      </c>
      <c r="B238" s="13" t="s">
        <v>417</v>
      </c>
      <c r="C238" t="s">
        <v>451</v>
      </c>
      <c r="D238">
        <f>VLOOKUP(A238,Sayfa2!C:D,2,0)</f>
        <v>0.03</v>
      </c>
      <c r="G238" t="s">
        <v>22</v>
      </c>
      <c r="H238">
        <f>VLOOKUP(A238,Sayfa2!A:B,2,0)</f>
        <v>0</v>
      </c>
      <c r="I238" t="s">
        <v>23</v>
      </c>
      <c r="J238" t="s">
        <v>24</v>
      </c>
    </row>
    <row r="239" spans="1:10" x14ac:dyDescent="0.25">
      <c r="A239" s="1" t="str">
        <f t="shared" si="3"/>
        <v>OBR-MB-02-WSH</v>
      </c>
      <c r="B239" s="13" t="s">
        <v>418</v>
      </c>
      <c r="C239" t="s">
        <v>451</v>
      </c>
      <c r="D239">
        <f>VLOOKUP(A239,Sayfa2!C:D,2,0)</f>
        <v>0.03</v>
      </c>
      <c r="G239" t="s">
        <v>22</v>
      </c>
      <c r="H239">
        <f>VLOOKUP(A239,Sayfa2!A:B,2,0)</f>
        <v>0</v>
      </c>
      <c r="I239" t="s">
        <v>23</v>
      </c>
      <c r="J239" t="s">
        <v>24</v>
      </c>
    </row>
    <row r="240" spans="1:10" x14ac:dyDescent="0.25">
      <c r="A240" s="1" t="str">
        <f t="shared" si="3"/>
        <v>OBR-MB-03-WSH</v>
      </c>
      <c r="B240" s="13" t="s">
        <v>419</v>
      </c>
      <c r="C240" t="s">
        <v>451</v>
      </c>
      <c r="D240">
        <f>VLOOKUP(A240,Sayfa2!C:D,2,0)</f>
        <v>0.03</v>
      </c>
      <c r="G240" t="s">
        <v>22</v>
      </c>
      <c r="H240">
        <f>VLOOKUP(A240,Sayfa2!A:B,2,0)</f>
        <v>0</v>
      </c>
      <c r="I240" t="s">
        <v>23</v>
      </c>
      <c r="J240" t="s">
        <v>24</v>
      </c>
    </row>
    <row r="241" spans="1:10" x14ac:dyDescent="0.25">
      <c r="A241" s="1" t="str">
        <f t="shared" si="3"/>
        <v>OBR-MB-04-WSH</v>
      </c>
      <c r="B241" s="13" t="s">
        <v>420</v>
      </c>
      <c r="C241" t="s">
        <v>451</v>
      </c>
      <c r="D241">
        <f>VLOOKUP(A241,Sayfa2!C:D,2,0)</f>
        <v>0.03</v>
      </c>
      <c r="G241" t="s">
        <v>22</v>
      </c>
      <c r="H241">
        <f>VLOOKUP(A241,Sayfa2!A:B,2,0)</f>
        <v>0</v>
      </c>
      <c r="I241" t="s">
        <v>23</v>
      </c>
      <c r="J241" t="s">
        <v>24</v>
      </c>
    </row>
    <row r="242" spans="1:10" x14ac:dyDescent="0.25">
      <c r="A242" s="1" t="str">
        <f t="shared" si="3"/>
        <v>OBR-MB-05-WSH</v>
      </c>
      <c r="B242" s="13" t="s">
        <v>421</v>
      </c>
      <c r="C242" t="s">
        <v>451</v>
      </c>
      <c r="D242">
        <f>VLOOKUP(A242,Sayfa2!C:D,2,0)</f>
        <v>0.02</v>
      </c>
      <c r="G242" t="s">
        <v>22</v>
      </c>
      <c r="H242">
        <f>VLOOKUP(A242,Sayfa2!A:B,2,0)</f>
        <v>0</v>
      </c>
      <c r="I242" t="s">
        <v>23</v>
      </c>
      <c r="J242" t="s">
        <v>24</v>
      </c>
    </row>
    <row r="243" spans="1:10" x14ac:dyDescent="0.25">
      <c r="A243" s="1" t="str">
        <f t="shared" si="3"/>
        <v>OBR-MB-06-WSH</v>
      </c>
      <c r="B243" s="13" t="s">
        <v>422</v>
      </c>
      <c r="C243" t="s">
        <v>451</v>
      </c>
      <c r="D243">
        <f>VLOOKUP(A243,Sayfa2!C:D,2,0)</f>
        <v>0.03</v>
      </c>
      <c r="G243" t="s">
        <v>22</v>
      </c>
      <c r="H243">
        <f>VLOOKUP(A243,Sayfa2!A:B,2,0)</f>
        <v>0</v>
      </c>
      <c r="I243" t="s">
        <v>23</v>
      </c>
      <c r="J243" t="s">
        <v>24</v>
      </c>
    </row>
    <row r="244" spans="1:10" x14ac:dyDescent="0.25">
      <c r="A244" s="1" t="str">
        <f t="shared" si="3"/>
        <v>OBR-MB-07-WSH</v>
      </c>
      <c r="B244" s="13" t="s">
        <v>423</v>
      </c>
      <c r="C244" t="s">
        <v>451</v>
      </c>
      <c r="D244">
        <f>VLOOKUP(A244,Sayfa2!C:D,2,0)</f>
        <v>0.03</v>
      </c>
      <c r="G244" t="s">
        <v>22</v>
      </c>
      <c r="H244">
        <f>VLOOKUP(A244,Sayfa2!A:B,2,0)</f>
        <v>0</v>
      </c>
      <c r="I244" t="s">
        <v>23</v>
      </c>
      <c r="J244" t="s">
        <v>24</v>
      </c>
    </row>
    <row r="245" spans="1:10" x14ac:dyDescent="0.25">
      <c r="A245" s="1" t="str">
        <f t="shared" si="3"/>
        <v>OBR-MB-08-WSH</v>
      </c>
      <c r="B245" s="13" t="s">
        <v>424</v>
      </c>
      <c r="C245" t="s">
        <v>451</v>
      </c>
      <c r="D245">
        <f>VLOOKUP(A245,Sayfa2!C:D,2,0)</f>
        <v>0.04</v>
      </c>
      <c r="G245" t="s">
        <v>22</v>
      </c>
      <c r="H245">
        <f>VLOOKUP(A245,Sayfa2!A:B,2,0)</f>
        <v>0</v>
      </c>
      <c r="I245" t="s">
        <v>23</v>
      </c>
      <c r="J245" t="s">
        <v>24</v>
      </c>
    </row>
    <row r="246" spans="1:10" x14ac:dyDescent="0.25">
      <c r="A246" s="1" t="str">
        <f t="shared" si="3"/>
        <v>OBR-MB-09-WSH</v>
      </c>
      <c r="B246" s="13" t="s">
        <v>425</v>
      </c>
      <c r="C246" t="s">
        <v>451</v>
      </c>
      <c r="D246">
        <f>VLOOKUP(A246,Sayfa2!C:D,2,0)</f>
        <v>0.04</v>
      </c>
      <c r="G246" t="s">
        <v>22</v>
      </c>
      <c r="H246">
        <f>VLOOKUP(A246,Sayfa2!A:B,2,0)</f>
        <v>0</v>
      </c>
      <c r="I246" t="s">
        <v>23</v>
      </c>
      <c r="J246" t="s">
        <v>24</v>
      </c>
    </row>
    <row r="247" spans="1:10" x14ac:dyDescent="0.25">
      <c r="A247" s="1" t="str">
        <f t="shared" si="3"/>
        <v>OBR-MB-10-WSH</v>
      </c>
      <c r="B247" s="13" t="s">
        <v>426</v>
      </c>
      <c r="C247" t="s">
        <v>451</v>
      </c>
      <c r="D247">
        <f>VLOOKUP(A247,Sayfa2!C:D,2,0)</f>
        <v>0.05</v>
      </c>
      <c r="G247" t="s">
        <v>22</v>
      </c>
      <c r="H247">
        <f>VLOOKUP(A247,Sayfa2!A:B,2,0)</f>
        <v>0</v>
      </c>
      <c r="I247" t="s">
        <v>23</v>
      </c>
      <c r="J247" t="s">
        <v>24</v>
      </c>
    </row>
    <row r="248" spans="1:10" x14ac:dyDescent="0.25">
      <c r="A248" s="1" t="str">
        <f t="shared" si="3"/>
        <v>OBR-MB-11-WSH</v>
      </c>
      <c r="B248" s="13" t="s">
        <v>427</v>
      </c>
      <c r="C248" t="s">
        <v>451</v>
      </c>
      <c r="D248">
        <f>VLOOKUP(A248,Sayfa2!C:D,2,0)</f>
        <v>7.0000000000000007E-2</v>
      </c>
      <c r="G248" t="s">
        <v>22</v>
      </c>
      <c r="H248">
        <f>VLOOKUP(A248,Sayfa2!A:B,2,0)</f>
        <v>0</v>
      </c>
      <c r="I248" t="s">
        <v>23</v>
      </c>
      <c r="J248" t="s">
        <v>24</v>
      </c>
    </row>
    <row r="249" spans="1:10" x14ac:dyDescent="0.25">
      <c r="A249" s="1" t="str">
        <f t="shared" si="3"/>
        <v>OBR-MB-12-WSH</v>
      </c>
      <c r="B249" s="13" t="s">
        <v>428</v>
      </c>
      <c r="C249" t="s">
        <v>451</v>
      </c>
      <c r="D249">
        <f>VLOOKUP(A249,Sayfa2!C:D,2,0)</f>
        <v>7.0000000000000007E-2</v>
      </c>
      <c r="G249" t="s">
        <v>22</v>
      </c>
      <c r="H249">
        <f>VLOOKUP(A249,Sayfa2!A:B,2,0)</f>
        <v>0</v>
      </c>
      <c r="I249" t="s">
        <v>23</v>
      </c>
      <c r="J249" t="s">
        <v>24</v>
      </c>
    </row>
    <row r="250" spans="1:10" x14ac:dyDescent="0.25">
      <c r="A250" s="1" t="str">
        <f t="shared" si="3"/>
        <v>OBR-MB-13-WSH</v>
      </c>
      <c r="B250" s="13" t="s">
        <v>429</v>
      </c>
      <c r="C250" t="s">
        <v>451</v>
      </c>
      <c r="D250">
        <f>VLOOKUP(A250,Sayfa2!C:D,2,0)</f>
        <v>0.08</v>
      </c>
      <c r="G250" t="s">
        <v>22</v>
      </c>
      <c r="H250">
        <f>VLOOKUP(A250,Sayfa2!A:B,2,0)</f>
        <v>0</v>
      </c>
      <c r="I250" t="s">
        <v>23</v>
      </c>
      <c r="J250" t="s">
        <v>24</v>
      </c>
    </row>
    <row r="251" spans="1:10" x14ac:dyDescent="0.25">
      <c r="A251" s="1" t="str">
        <f t="shared" si="3"/>
        <v>OBR-MB-14-WSH</v>
      </c>
      <c r="B251" s="13" t="s">
        <v>430</v>
      </c>
      <c r="C251" t="s">
        <v>451</v>
      </c>
      <c r="D251">
        <f>VLOOKUP(A251,Sayfa2!C:D,2,0)</f>
        <v>0.09</v>
      </c>
      <c r="G251" t="s">
        <v>22</v>
      </c>
      <c r="H251">
        <f>VLOOKUP(A251,Sayfa2!A:B,2,0)</f>
        <v>0</v>
      </c>
      <c r="I251" t="s">
        <v>23</v>
      </c>
      <c r="J251" t="s">
        <v>24</v>
      </c>
    </row>
    <row r="252" spans="1:10" x14ac:dyDescent="0.25">
      <c r="A252" s="1" t="str">
        <f t="shared" si="3"/>
        <v>OBR-MB-15-WSH</v>
      </c>
      <c r="B252" s="13" t="s">
        <v>431</v>
      </c>
      <c r="C252" t="s">
        <v>451</v>
      </c>
      <c r="D252">
        <f>VLOOKUP(A252,Sayfa2!C:D,2,0)</f>
        <v>0.11</v>
      </c>
      <c r="G252" t="s">
        <v>22</v>
      </c>
      <c r="H252">
        <f>VLOOKUP(A252,Sayfa2!A:B,2,0)</f>
        <v>0</v>
      </c>
      <c r="I252" t="s">
        <v>23</v>
      </c>
      <c r="J252" t="s">
        <v>24</v>
      </c>
    </row>
    <row r="253" spans="1:10" x14ac:dyDescent="0.25">
      <c r="A253" s="1" t="str">
        <f t="shared" si="3"/>
        <v>OBR-MB-16-WSH</v>
      </c>
      <c r="B253" s="13" t="s">
        <v>432</v>
      </c>
      <c r="C253" t="s">
        <v>451</v>
      </c>
      <c r="D253">
        <f>VLOOKUP(A253,Sayfa2!C:D,2,0)</f>
        <v>0.17</v>
      </c>
      <c r="G253" t="s">
        <v>22</v>
      </c>
      <c r="H253">
        <f>VLOOKUP(A253,Sayfa2!A:B,2,0)</f>
        <v>0</v>
      </c>
      <c r="I253" t="s">
        <v>23</v>
      </c>
      <c r="J253" t="s">
        <v>24</v>
      </c>
    </row>
    <row r="254" spans="1:10" x14ac:dyDescent="0.25">
      <c r="A254" s="1" t="str">
        <f t="shared" si="3"/>
        <v>OBR-MB-17-WSH</v>
      </c>
      <c r="B254" s="13" t="s">
        <v>433</v>
      </c>
      <c r="C254" t="s">
        <v>451</v>
      </c>
      <c r="D254">
        <f>VLOOKUP(A254,Sayfa2!C:D,2,0)</f>
        <v>0.19</v>
      </c>
      <c r="G254" t="s">
        <v>22</v>
      </c>
      <c r="H254">
        <f>VLOOKUP(A254,Sayfa2!A:B,2,0)</f>
        <v>0</v>
      </c>
      <c r="I254" t="s">
        <v>23</v>
      </c>
      <c r="J254" t="s">
        <v>24</v>
      </c>
    </row>
    <row r="255" spans="1:10" x14ac:dyDescent="0.25">
      <c r="A255" s="1" t="str">
        <f t="shared" si="3"/>
        <v>OBR-MB-18-WSH</v>
      </c>
      <c r="B255" s="13" t="s">
        <v>434</v>
      </c>
      <c r="C255" t="s">
        <v>451</v>
      </c>
      <c r="D255">
        <f>VLOOKUP(A255,Sayfa2!C:D,2,0)</f>
        <v>0.23</v>
      </c>
      <c r="G255" t="s">
        <v>22</v>
      </c>
      <c r="H255">
        <f>VLOOKUP(A255,Sayfa2!A:B,2,0)</f>
        <v>0</v>
      </c>
      <c r="I255" t="s">
        <v>23</v>
      </c>
      <c r="J255" t="s">
        <v>24</v>
      </c>
    </row>
    <row r="256" spans="1:10" x14ac:dyDescent="0.25">
      <c r="A256" s="1" t="str">
        <f t="shared" si="3"/>
        <v>OBR-MB-19-WSH</v>
      </c>
      <c r="B256" s="13" t="s">
        <v>435</v>
      </c>
      <c r="C256" t="s">
        <v>451</v>
      </c>
      <c r="D256">
        <f>VLOOKUP(A256,Sayfa2!C:D,2,0)</f>
        <v>0.24</v>
      </c>
      <c r="G256" t="s">
        <v>22</v>
      </c>
      <c r="H256">
        <f>VLOOKUP(A256,Sayfa2!A:B,2,0)</f>
        <v>0</v>
      </c>
      <c r="I256" t="s">
        <v>23</v>
      </c>
      <c r="J256" t="s">
        <v>24</v>
      </c>
    </row>
    <row r="257" spans="1:10" x14ac:dyDescent="0.25">
      <c r="A257" s="1" t="str">
        <f t="shared" ref="A257:A268" si="4">"OBR-"&amp;SUBSTITUTE(SUBSTITUTE(SUBSTITUTE(SUBSTITUTE(SUBSTITUTE(SUBSTITUTE(B257," ","-"),"R-","RUL-"),"-OBR",""),"SOMUN","NUT"),"FIBERLI","FBR"),"PUL","WSH")</f>
        <v>OBR-MB-20-WSH</v>
      </c>
      <c r="B257" s="13" t="s">
        <v>436</v>
      </c>
      <c r="C257" t="s">
        <v>451</v>
      </c>
      <c r="D257">
        <f>VLOOKUP(A257,Sayfa2!C:D,2,0)</f>
        <v>0.26</v>
      </c>
      <c r="G257" t="s">
        <v>22</v>
      </c>
      <c r="H257">
        <f>VLOOKUP(A257,Sayfa2!A:B,2,0)</f>
        <v>0</v>
      </c>
      <c r="I257" t="s">
        <v>23</v>
      </c>
      <c r="J257" t="s">
        <v>24</v>
      </c>
    </row>
    <row r="258" spans="1:10" x14ac:dyDescent="0.25">
      <c r="A258" s="1" t="str">
        <f t="shared" si="4"/>
        <v>OBR-MB-21-WSH</v>
      </c>
      <c r="B258" s="13" t="s">
        <v>437</v>
      </c>
      <c r="C258" t="s">
        <v>451</v>
      </c>
      <c r="D258">
        <f>VLOOKUP(A258,Sayfa2!C:D,2,0)</f>
        <v>0.3</v>
      </c>
      <c r="G258" t="s">
        <v>22</v>
      </c>
      <c r="H258">
        <f>VLOOKUP(A258,Sayfa2!A:B,2,0)</f>
        <v>0</v>
      </c>
      <c r="I258" t="s">
        <v>23</v>
      </c>
      <c r="J258" t="s">
        <v>24</v>
      </c>
    </row>
    <row r="259" spans="1:10" x14ac:dyDescent="0.25">
      <c r="A259" s="1" t="str">
        <f t="shared" si="4"/>
        <v>OBR-MB-22-WSH</v>
      </c>
      <c r="B259" s="13" t="s">
        <v>438</v>
      </c>
      <c r="C259" t="s">
        <v>451</v>
      </c>
      <c r="D259">
        <f>VLOOKUP(A259,Sayfa2!C:D,2,0)</f>
        <v>0.33</v>
      </c>
      <c r="G259" t="s">
        <v>22</v>
      </c>
      <c r="H259">
        <f>VLOOKUP(A259,Sayfa2!A:B,2,0)</f>
        <v>0</v>
      </c>
      <c r="I259" t="s">
        <v>23</v>
      </c>
      <c r="J259" t="s">
        <v>24</v>
      </c>
    </row>
    <row r="260" spans="1:10" x14ac:dyDescent="0.25">
      <c r="A260" s="1" t="str">
        <f t="shared" si="4"/>
        <v>OBR-MB-23-WSH</v>
      </c>
      <c r="B260" s="13" t="s">
        <v>439</v>
      </c>
      <c r="C260" t="s">
        <v>451</v>
      </c>
      <c r="D260">
        <f>VLOOKUP(A260,Sayfa2!C:D,2,0)</f>
        <v>0.34</v>
      </c>
      <c r="G260" t="s">
        <v>22</v>
      </c>
      <c r="H260">
        <f>VLOOKUP(A260,Sayfa2!A:B,2,0)</f>
        <v>0</v>
      </c>
      <c r="I260" t="s">
        <v>23</v>
      </c>
      <c r="J260" t="s">
        <v>24</v>
      </c>
    </row>
    <row r="261" spans="1:10" x14ac:dyDescent="0.25">
      <c r="A261" s="1" t="str">
        <f t="shared" si="4"/>
        <v>OBR-MB-24-WSH</v>
      </c>
      <c r="B261" s="13" t="s">
        <v>440</v>
      </c>
      <c r="C261" t="s">
        <v>451</v>
      </c>
      <c r="D261">
        <f>VLOOKUP(A261,Sayfa2!C:D,2,0)</f>
        <v>0.42</v>
      </c>
      <c r="G261" t="s">
        <v>22</v>
      </c>
      <c r="H261">
        <f>VLOOKUP(A261,Sayfa2!A:B,2,0)</f>
        <v>0</v>
      </c>
      <c r="I261" t="s">
        <v>23</v>
      </c>
      <c r="J261" t="s">
        <v>24</v>
      </c>
    </row>
    <row r="262" spans="1:10" x14ac:dyDescent="0.25">
      <c r="A262" s="1" t="str">
        <f t="shared" si="4"/>
        <v>OBR-MB-25-WSH</v>
      </c>
      <c r="B262" s="13" t="s">
        <v>441</v>
      </c>
      <c r="C262" t="s">
        <v>451</v>
      </c>
      <c r="D262">
        <f>VLOOKUP(A262,Sayfa2!C:D,2,0)</f>
        <v>0.47</v>
      </c>
      <c r="G262" t="s">
        <v>22</v>
      </c>
      <c r="H262">
        <f>VLOOKUP(A262,Sayfa2!A:B,2,0)</f>
        <v>0</v>
      </c>
      <c r="I262" t="s">
        <v>23</v>
      </c>
      <c r="J262" t="s">
        <v>24</v>
      </c>
    </row>
    <row r="263" spans="1:10" x14ac:dyDescent="0.25">
      <c r="A263" s="1" t="str">
        <f t="shared" si="4"/>
        <v>OBR-MB-26-WSH</v>
      </c>
      <c r="B263" s="13" t="s">
        <v>442</v>
      </c>
      <c r="C263" t="s">
        <v>451</v>
      </c>
      <c r="D263">
        <f>VLOOKUP(A263,Sayfa2!C:D,2,0)</f>
        <v>0.52</v>
      </c>
      <c r="G263" t="s">
        <v>22</v>
      </c>
      <c r="H263">
        <f>VLOOKUP(A263,Sayfa2!A:B,2,0)</f>
        <v>0</v>
      </c>
      <c r="I263" t="s">
        <v>23</v>
      </c>
      <c r="J263" t="s">
        <v>24</v>
      </c>
    </row>
    <row r="264" spans="1:10" x14ac:dyDescent="0.25">
      <c r="A264" s="1" t="str">
        <f t="shared" si="4"/>
        <v>OBR-MB-27-WSH</v>
      </c>
      <c r="B264" s="13" t="s">
        <v>443</v>
      </c>
      <c r="C264" t="s">
        <v>451</v>
      </c>
      <c r="D264">
        <f>VLOOKUP(A264,Sayfa2!C:D,2,0)</f>
        <v>0.57999999999999996</v>
      </c>
      <c r="G264" t="s">
        <v>22</v>
      </c>
      <c r="H264">
        <f>VLOOKUP(A264,Sayfa2!A:B,2,0)</f>
        <v>0</v>
      </c>
      <c r="I264" t="s">
        <v>23</v>
      </c>
      <c r="J264" t="s">
        <v>24</v>
      </c>
    </row>
    <row r="265" spans="1:10" x14ac:dyDescent="0.25">
      <c r="A265" s="1" t="str">
        <f t="shared" si="4"/>
        <v>OBR-MB-28-WSH</v>
      </c>
      <c r="B265" s="13" t="s">
        <v>444</v>
      </c>
      <c r="C265" t="s">
        <v>451</v>
      </c>
      <c r="D265">
        <f>VLOOKUP(A265,Sayfa2!C:D,2,0)</f>
        <v>0.62</v>
      </c>
      <c r="G265" t="s">
        <v>22</v>
      </c>
      <c r="H265">
        <f>VLOOKUP(A265,Sayfa2!A:B,2,0)</f>
        <v>0</v>
      </c>
      <c r="I265" t="s">
        <v>23</v>
      </c>
      <c r="J265" t="s">
        <v>24</v>
      </c>
    </row>
    <row r="266" spans="1:10" x14ac:dyDescent="0.25">
      <c r="A266" s="1" t="str">
        <f t="shared" si="4"/>
        <v>OBR-MB-29-WSH</v>
      </c>
      <c r="B266" s="13" t="s">
        <v>445</v>
      </c>
      <c r="C266" t="s">
        <v>451</v>
      </c>
      <c r="D266">
        <f>VLOOKUP(A266,Sayfa2!C:D,2,0)</f>
        <v>0.7</v>
      </c>
      <c r="G266" t="s">
        <v>22</v>
      </c>
      <c r="H266">
        <f>VLOOKUP(A266,Sayfa2!A:B,2,0)</f>
        <v>0</v>
      </c>
      <c r="I266" t="s">
        <v>23</v>
      </c>
      <c r="J266" t="s">
        <v>24</v>
      </c>
    </row>
    <row r="267" spans="1:10" x14ac:dyDescent="0.25">
      <c r="A267" s="1" t="str">
        <f t="shared" si="4"/>
        <v>OBR-MB-30-WSH</v>
      </c>
      <c r="B267" s="13" t="s">
        <v>446</v>
      </c>
      <c r="C267" t="s">
        <v>451</v>
      </c>
      <c r="D267">
        <f>VLOOKUP(A267,Sayfa2!C:D,2,0)</f>
        <v>0.72</v>
      </c>
      <c r="G267" t="s">
        <v>22</v>
      </c>
      <c r="H267">
        <f>VLOOKUP(A267,Sayfa2!A:B,2,0)</f>
        <v>0</v>
      </c>
      <c r="I267" t="s">
        <v>23</v>
      </c>
      <c r="J267" t="s">
        <v>24</v>
      </c>
    </row>
    <row r="268" spans="1:10" x14ac:dyDescent="0.25">
      <c r="A268" s="1" t="str">
        <f t="shared" si="4"/>
        <v>OBR-MB-38-WSH</v>
      </c>
      <c r="B268" s="13" t="s">
        <v>447</v>
      </c>
      <c r="C268" t="s">
        <v>451</v>
      </c>
      <c r="D268">
        <f>VLOOKUP(A268,Sayfa2!C:D,2,0)</f>
        <v>0</v>
      </c>
      <c r="G268" t="s">
        <v>22</v>
      </c>
      <c r="H268">
        <f>VLOOKUP(A268,Sayfa2!A:B,2,0)</f>
        <v>0</v>
      </c>
      <c r="I268" t="s">
        <v>23</v>
      </c>
      <c r="J268" t="s">
        <v>24</v>
      </c>
    </row>
    <row r="269" spans="1:10" x14ac:dyDescent="0.25">
      <c r="A269" s="1" t="s">
        <v>452</v>
      </c>
      <c r="B269" s="1" t="s">
        <v>501</v>
      </c>
      <c r="C269" t="s">
        <v>550</v>
      </c>
      <c r="D269">
        <v>0</v>
      </c>
      <c r="G269" t="s">
        <v>22</v>
      </c>
      <c r="H269">
        <v>0</v>
      </c>
      <c r="I269" t="s">
        <v>23</v>
      </c>
      <c r="J269" t="s">
        <v>24</v>
      </c>
    </row>
    <row r="270" spans="1:10" x14ac:dyDescent="0.25">
      <c r="A270" s="1" t="s">
        <v>453</v>
      </c>
      <c r="B270" s="1" t="s">
        <v>502</v>
      </c>
      <c r="C270" t="s">
        <v>550</v>
      </c>
      <c r="D270">
        <v>0</v>
      </c>
      <c r="G270" t="s">
        <v>22</v>
      </c>
      <c r="H270">
        <v>0</v>
      </c>
      <c r="I270" t="s">
        <v>23</v>
      </c>
      <c r="J270" t="s">
        <v>24</v>
      </c>
    </row>
    <row r="271" spans="1:10" x14ac:dyDescent="0.25">
      <c r="A271" s="1" t="s">
        <v>454</v>
      </c>
      <c r="B271" s="1" t="s">
        <v>503</v>
      </c>
      <c r="C271" t="s">
        <v>550</v>
      </c>
      <c r="D271">
        <v>0</v>
      </c>
      <c r="G271" t="s">
        <v>22</v>
      </c>
      <c r="H271">
        <v>0</v>
      </c>
      <c r="I271" t="s">
        <v>23</v>
      </c>
      <c r="J271" t="s">
        <v>24</v>
      </c>
    </row>
    <row r="272" spans="1:10" x14ac:dyDescent="0.25">
      <c r="A272" s="1" t="s">
        <v>455</v>
      </c>
      <c r="B272" s="1" t="s">
        <v>504</v>
      </c>
      <c r="C272" t="s">
        <v>550</v>
      </c>
      <c r="D272">
        <v>0</v>
      </c>
      <c r="G272" t="s">
        <v>22</v>
      </c>
      <c r="H272">
        <v>0</v>
      </c>
      <c r="I272" t="s">
        <v>23</v>
      </c>
      <c r="J272" t="s">
        <v>24</v>
      </c>
    </row>
    <row r="273" spans="1:10" x14ac:dyDescent="0.25">
      <c r="A273" s="1" t="s">
        <v>456</v>
      </c>
      <c r="B273" s="1" t="s">
        <v>505</v>
      </c>
      <c r="C273" t="s">
        <v>550</v>
      </c>
      <c r="D273">
        <v>0</v>
      </c>
      <c r="G273" t="s">
        <v>22</v>
      </c>
      <c r="H273">
        <v>0</v>
      </c>
      <c r="I273" t="s">
        <v>23</v>
      </c>
      <c r="J273" t="s">
        <v>24</v>
      </c>
    </row>
    <row r="274" spans="1:10" x14ac:dyDescent="0.25">
      <c r="A274" s="1" t="s">
        <v>457</v>
      </c>
      <c r="B274" s="1" t="s">
        <v>506</v>
      </c>
      <c r="C274" t="s">
        <v>550</v>
      </c>
      <c r="D274">
        <v>0</v>
      </c>
      <c r="G274" t="s">
        <v>22</v>
      </c>
      <c r="H274">
        <v>0</v>
      </c>
      <c r="I274" t="s">
        <v>23</v>
      </c>
      <c r="J274" t="s">
        <v>24</v>
      </c>
    </row>
    <row r="275" spans="1:10" x14ac:dyDescent="0.25">
      <c r="A275" s="1" t="s">
        <v>458</v>
      </c>
      <c r="B275" s="1" t="s">
        <v>507</v>
      </c>
      <c r="C275" t="s">
        <v>550</v>
      </c>
      <c r="D275">
        <v>0</v>
      </c>
      <c r="G275" t="s">
        <v>22</v>
      </c>
      <c r="H275">
        <v>0</v>
      </c>
      <c r="I275" t="s">
        <v>23</v>
      </c>
      <c r="J275" t="s">
        <v>24</v>
      </c>
    </row>
    <row r="276" spans="1:10" x14ac:dyDescent="0.25">
      <c r="A276" s="1" t="s">
        <v>459</v>
      </c>
      <c r="B276" s="1" t="s">
        <v>508</v>
      </c>
      <c r="C276" t="s">
        <v>550</v>
      </c>
      <c r="D276">
        <v>0</v>
      </c>
      <c r="G276" t="s">
        <v>22</v>
      </c>
      <c r="H276">
        <v>0</v>
      </c>
      <c r="I276" t="s">
        <v>23</v>
      </c>
      <c r="J276" t="s">
        <v>24</v>
      </c>
    </row>
    <row r="277" spans="1:10" x14ac:dyDescent="0.25">
      <c r="A277" s="1" t="s">
        <v>460</v>
      </c>
      <c r="B277" s="1" t="s">
        <v>509</v>
      </c>
      <c r="C277" t="s">
        <v>550</v>
      </c>
      <c r="D277">
        <v>0</v>
      </c>
      <c r="G277" t="s">
        <v>22</v>
      </c>
      <c r="H277">
        <v>0</v>
      </c>
      <c r="I277" t="s">
        <v>23</v>
      </c>
      <c r="J277" t="s">
        <v>24</v>
      </c>
    </row>
    <row r="278" spans="1:10" x14ac:dyDescent="0.25">
      <c r="A278" s="1" t="s">
        <v>461</v>
      </c>
      <c r="B278" s="1" t="s">
        <v>510</v>
      </c>
      <c r="C278" t="s">
        <v>550</v>
      </c>
      <c r="D278">
        <v>0</v>
      </c>
      <c r="G278" t="s">
        <v>22</v>
      </c>
      <c r="H278">
        <v>0</v>
      </c>
      <c r="I278" t="s">
        <v>23</v>
      </c>
      <c r="J278" t="s">
        <v>24</v>
      </c>
    </row>
    <row r="279" spans="1:10" x14ac:dyDescent="0.25">
      <c r="A279" s="1" t="s">
        <v>462</v>
      </c>
      <c r="B279" s="1" t="s">
        <v>511</v>
      </c>
      <c r="C279" t="s">
        <v>550</v>
      </c>
      <c r="D279">
        <v>0</v>
      </c>
      <c r="G279" t="s">
        <v>22</v>
      </c>
      <c r="H279">
        <v>0</v>
      </c>
      <c r="I279" t="s">
        <v>23</v>
      </c>
      <c r="J279" t="s">
        <v>24</v>
      </c>
    </row>
    <row r="280" spans="1:10" x14ac:dyDescent="0.25">
      <c r="A280" s="1" t="s">
        <v>463</v>
      </c>
      <c r="B280" s="1" t="s">
        <v>512</v>
      </c>
      <c r="C280" t="s">
        <v>550</v>
      </c>
      <c r="D280">
        <v>0</v>
      </c>
      <c r="G280" t="s">
        <v>22</v>
      </c>
      <c r="H280">
        <v>0</v>
      </c>
      <c r="I280" t="s">
        <v>23</v>
      </c>
      <c r="J280" t="s">
        <v>24</v>
      </c>
    </row>
    <row r="281" spans="1:10" x14ac:dyDescent="0.25">
      <c r="A281" s="1" t="s">
        <v>464</v>
      </c>
      <c r="B281" s="1" t="s">
        <v>513</v>
      </c>
      <c r="C281" t="s">
        <v>550</v>
      </c>
      <c r="D281">
        <v>0</v>
      </c>
      <c r="G281" t="s">
        <v>22</v>
      </c>
      <c r="H281">
        <v>0</v>
      </c>
      <c r="I281" t="s">
        <v>23</v>
      </c>
      <c r="J281" t="s">
        <v>24</v>
      </c>
    </row>
    <row r="282" spans="1:10" x14ac:dyDescent="0.25">
      <c r="A282" s="1" t="s">
        <v>465</v>
      </c>
      <c r="B282" s="1" t="s">
        <v>514</v>
      </c>
      <c r="C282" t="s">
        <v>550</v>
      </c>
      <c r="D282">
        <v>0</v>
      </c>
      <c r="G282" t="s">
        <v>22</v>
      </c>
      <c r="H282">
        <v>0</v>
      </c>
      <c r="I282" t="s">
        <v>23</v>
      </c>
      <c r="J282" t="s">
        <v>24</v>
      </c>
    </row>
    <row r="283" spans="1:10" x14ac:dyDescent="0.25">
      <c r="A283" s="1" t="s">
        <v>466</v>
      </c>
      <c r="B283" s="1" t="s">
        <v>515</v>
      </c>
      <c r="C283" t="s">
        <v>550</v>
      </c>
      <c r="D283">
        <v>0</v>
      </c>
      <c r="G283" t="s">
        <v>22</v>
      </c>
      <c r="H283">
        <v>0</v>
      </c>
      <c r="I283" t="s">
        <v>23</v>
      </c>
      <c r="J283" t="s">
        <v>24</v>
      </c>
    </row>
    <row r="284" spans="1:10" x14ac:dyDescent="0.25">
      <c r="A284" s="1" t="s">
        <v>467</v>
      </c>
      <c r="B284" s="1" t="s">
        <v>516</v>
      </c>
      <c r="C284" t="s">
        <v>550</v>
      </c>
      <c r="D284">
        <v>0</v>
      </c>
      <c r="G284" t="s">
        <v>22</v>
      </c>
      <c r="H284">
        <v>0</v>
      </c>
      <c r="I284" t="s">
        <v>23</v>
      </c>
      <c r="J284" t="s">
        <v>24</v>
      </c>
    </row>
    <row r="285" spans="1:10" x14ac:dyDescent="0.25">
      <c r="A285" s="1" t="s">
        <v>468</v>
      </c>
      <c r="B285" s="1" t="s">
        <v>517</v>
      </c>
      <c r="C285" t="s">
        <v>550</v>
      </c>
      <c r="D285">
        <v>0</v>
      </c>
      <c r="G285" t="s">
        <v>22</v>
      </c>
      <c r="H285">
        <v>0</v>
      </c>
      <c r="I285" t="s">
        <v>23</v>
      </c>
      <c r="J285" t="s">
        <v>24</v>
      </c>
    </row>
    <row r="286" spans="1:10" x14ac:dyDescent="0.25">
      <c r="A286" s="1" t="s">
        <v>469</v>
      </c>
      <c r="B286" s="1" t="s">
        <v>518</v>
      </c>
      <c r="C286" t="s">
        <v>550</v>
      </c>
      <c r="D286">
        <v>0</v>
      </c>
      <c r="G286" t="s">
        <v>22</v>
      </c>
      <c r="H286">
        <v>0</v>
      </c>
      <c r="I286" t="s">
        <v>23</v>
      </c>
      <c r="J286" t="s">
        <v>24</v>
      </c>
    </row>
    <row r="287" spans="1:10" x14ac:dyDescent="0.25">
      <c r="A287" s="1" t="s">
        <v>470</v>
      </c>
      <c r="B287" s="1" t="s">
        <v>519</v>
      </c>
      <c r="C287" t="s">
        <v>550</v>
      </c>
      <c r="D287">
        <v>0</v>
      </c>
      <c r="G287" t="s">
        <v>22</v>
      </c>
      <c r="H287">
        <v>0</v>
      </c>
      <c r="I287" t="s">
        <v>23</v>
      </c>
      <c r="J287" t="s">
        <v>24</v>
      </c>
    </row>
    <row r="288" spans="1:10" x14ac:dyDescent="0.25">
      <c r="A288" s="1" t="s">
        <v>471</v>
      </c>
      <c r="B288" s="1" t="s">
        <v>520</v>
      </c>
      <c r="C288" t="s">
        <v>550</v>
      </c>
      <c r="D288">
        <v>0</v>
      </c>
      <c r="G288" t="s">
        <v>22</v>
      </c>
      <c r="H288">
        <v>0</v>
      </c>
      <c r="I288" t="s">
        <v>23</v>
      </c>
      <c r="J288" t="s">
        <v>24</v>
      </c>
    </row>
    <row r="289" spans="1:10" x14ac:dyDescent="0.25">
      <c r="A289" s="1" t="s">
        <v>472</v>
      </c>
      <c r="B289" s="1" t="s">
        <v>521</v>
      </c>
      <c r="C289" t="s">
        <v>550</v>
      </c>
      <c r="D289">
        <v>0</v>
      </c>
      <c r="G289" t="s">
        <v>22</v>
      </c>
      <c r="H289">
        <v>0</v>
      </c>
      <c r="I289" t="s">
        <v>23</v>
      </c>
      <c r="J289" t="s">
        <v>24</v>
      </c>
    </row>
    <row r="290" spans="1:10" x14ac:dyDescent="0.25">
      <c r="A290" s="1" t="s">
        <v>473</v>
      </c>
      <c r="B290" s="1" t="s">
        <v>522</v>
      </c>
      <c r="C290" t="s">
        <v>550</v>
      </c>
      <c r="D290">
        <v>0</v>
      </c>
      <c r="G290" t="s">
        <v>22</v>
      </c>
      <c r="H290">
        <v>0</v>
      </c>
      <c r="I290" t="s">
        <v>23</v>
      </c>
      <c r="J290" t="s">
        <v>24</v>
      </c>
    </row>
    <row r="291" spans="1:10" x14ac:dyDescent="0.25">
      <c r="A291" s="1" t="s">
        <v>474</v>
      </c>
      <c r="B291" s="1" t="s">
        <v>523</v>
      </c>
      <c r="C291" t="s">
        <v>550</v>
      </c>
      <c r="D291">
        <v>0</v>
      </c>
      <c r="G291" t="s">
        <v>22</v>
      </c>
      <c r="H291">
        <v>0</v>
      </c>
      <c r="I291" t="s">
        <v>23</v>
      </c>
      <c r="J291" t="s">
        <v>24</v>
      </c>
    </row>
    <row r="292" spans="1:10" x14ac:dyDescent="0.25">
      <c r="A292" s="1" t="s">
        <v>475</v>
      </c>
      <c r="B292" s="1" t="s">
        <v>524</v>
      </c>
      <c r="C292" t="s">
        <v>550</v>
      </c>
      <c r="D292">
        <v>0</v>
      </c>
      <c r="G292" t="s">
        <v>22</v>
      </c>
      <c r="H292">
        <v>0</v>
      </c>
      <c r="I292" t="s">
        <v>23</v>
      </c>
      <c r="J292" t="s">
        <v>24</v>
      </c>
    </row>
    <row r="293" spans="1:10" x14ac:dyDescent="0.25">
      <c r="A293" s="1" t="s">
        <v>476</v>
      </c>
      <c r="B293" s="1" t="s">
        <v>525</v>
      </c>
      <c r="C293" t="s">
        <v>550</v>
      </c>
      <c r="D293">
        <v>0</v>
      </c>
      <c r="G293" t="s">
        <v>22</v>
      </c>
      <c r="H293">
        <v>0</v>
      </c>
      <c r="I293" t="s">
        <v>23</v>
      </c>
      <c r="J293" t="s">
        <v>24</v>
      </c>
    </row>
    <row r="294" spans="1:10" x14ac:dyDescent="0.25">
      <c r="A294" s="1" t="s">
        <v>477</v>
      </c>
      <c r="B294" s="1" t="s">
        <v>526</v>
      </c>
      <c r="C294" t="s">
        <v>550</v>
      </c>
      <c r="D294">
        <v>0</v>
      </c>
      <c r="G294" t="s">
        <v>22</v>
      </c>
      <c r="H294">
        <v>0</v>
      </c>
      <c r="I294" t="s">
        <v>23</v>
      </c>
      <c r="J294" t="s">
        <v>24</v>
      </c>
    </row>
    <row r="295" spans="1:10" x14ac:dyDescent="0.25">
      <c r="A295" s="1" t="s">
        <v>478</v>
      </c>
      <c r="B295" s="1" t="s">
        <v>527</v>
      </c>
      <c r="C295" t="s">
        <v>550</v>
      </c>
      <c r="D295">
        <v>0</v>
      </c>
      <c r="G295" t="s">
        <v>22</v>
      </c>
      <c r="H295">
        <v>0</v>
      </c>
      <c r="I295" t="s">
        <v>23</v>
      </c>
      <c r="J295" t="s">
        <v>24</v>
      </c>
    </row>
    <row r="296" spans="1:10" x14ac:dyDescent="0.25">
      <c r="A296" s="1" t="s">
        <v>479</v>
      </c>
      <c r="B296" s="1" t="s">
        <v>528</v>
      </c>
      <c r="C296" t="s">
        <v>550</v>
      </c>
      <c r="D296">
        <v>0</v>
      </c>
      <c r="G296" t="s">
        <v>22</v>
      </c>
      <c r="H296">
        <v>0</v>
      </c>
      <c r="I296" t="s">
        <v>23</v>
      </c>
      <c r="J296" t="s">
        <v>24</v>
      </c>
    </row>
    <row r="297" spans="1:10" x14ac:dyDescent="0.25">
      <c r="A297" s="1" t="s">
        <v>480</v>
      </c>
      <c r="B297" s="1" t="s">
        <v>529</v>
      </c>
      <c r="C297" t="s">
        <v>550</v>
      </c>
      <c r="D297">
        <v>0</v>
      </c>
      <c r="G297" t="s">
        <v>22</v>
      </c>
      <c r="H297">
        <v>0</v>
      </c>
      <c r="I297" t="s">
        <v>23</v>
      </c>
      <c r="J297" t="s">
        <v>24</v>
      </c>
    </row>
    <row r="298" spans="1:10" x14ac:dyDescent="0.25">
      <c r="A298" s="1" t="s">
        <v>481</v>
      </c>
      <c r="B298" s="1" t="s">
        <v>530</v>
      </c>
      <c r="C298" t="s">
        <v>550</v>
      </c>
      <c r="D298">
        <v>0</v>
      </c>
      <c r="G298" t="s">
        <v>22</v>
      </c>
      <c r="H298">
        <v>0</v>
      </c>
      <c r="I298" t="s">
        <v>23</v>
      </c>
      <c r="J298" t="s">
        <v>24</v>
      </c>
    </row>
    <row r="299" spans="1:10" x14ac:dyDescent="0.25">
      <c r="A299" s="1" t="s">
        <v>482</v>
      </c>
      <c r="B299" s="1" t="s">
        <v>531</v>
      </c>
      <c r="C299" t="s">
        <v>550</v>
      </c>
      <c r="D299">
        <v>0</v>
      </c>
      <c r="G299" t="s">
        <v>22</v>
      </c>
      <c r="H299">
        <v>0</v>
      </c>
      <c r="I299" t="s">
        <v>23</v>
      </c>
      <c r="J299" t="s">
        <v>24</v>
      </c>
    </row>
    <row r="300" spans="1:10" x14ac:dyDescent="0.25">
      <c r="A300" s="1" t="s">
        <v>483</v>
      </c>
      <c r="B300" s="1" t="s">
        <v>532</v>
      </c>
      <c r="C300" t="s">
        <v>550</v>
      </c>
      <c r="D300">
        <v>0</v>
      </c>
      <c r="G300" t="s">
        <v>22</v>
      </c>
      <c r="H300">
        <v>0</v>
      </c>
      <c r="I300" t="s">
        <v>23</v>
      </c>
      <c r="J300" t="s">
        <v>24</v>
      </c>
    </row>
    <row r="301" spans="1:10" x14ac:dyDescent="0.25">
      <c r="A301" s="1" t="s">
        <v>484</v>
      </c>
      <c r="B301" s="1" t="s">
        <v>533</v>
      </c>
      <c r="C301" t="s">
        <v>550</v>
      </c>
      <c r="D301">
        <v>0</v>
      </c>
      <c r="G301" t="s">
        <v>22</v>
      </c>
      <c r="H301">
        <v>0</v>
      </c>
      <c r="I301" t="s">
        <v>23</v>
      </c>
      <c r="J301" t="s">
        <v>24</v>
      </c>
    </row>
    <row r="302" spans="1:10" x14ac:dyDescent="0.25">
      <c r="A302" s="1" t="s">
        <v>485</v>
      </c>
      <c r="B302" s="1" t="s">
        <v>534</v>
      </c>
      <c r="C302" t="s">
        <v>550</v>
      </c>
      <c r="D302">
        <v>0</v>
      </c>
      <c r="G302" t="s">
        <v>22</v>
      </c>
      <c r="H302">
        <v>0</v>
      </c>
      <c r="I302" t="s">
        <v>23</v>
      </c>
      <c r="J302" t="s">
        <v>24</v>
      </c>
    </row>
    <row r="303" spans="1:10" x14ac:dyDescent="0.25">
      <c r="A303" s="1" t="s">
        <v>486</v>
      </c>
      <c r="B303" s="1" t="s">
        <v>535</v>
      </c>
      <c r="C303" t="s">
        <v>550</v>
      </c>
      <c r="D303">
        <v>0</v>
      </c>
      <c r="G303" t="s">
        <v>22</v>
      </c>
      <c r="H303">
        <v>0</v>
      </c>
      <c r="I303" t="s">
        <v>23</v>
      </c>
      <c r="J303" t="s">
        <v>24</v>
      </c>
    </row>
    <row r="304" spans="1:10" x14ac:dyDescent="0.25">
      <c r="A304" s="1" t="s">
        <v>487</v>
      </c>
      <c r="B304" s="1" t="s">
        <v>536</v>
      </c>
      <c r="C304" t="s">
        <v>550</v>
      </c>
      <c r="D304">
        <v>0</v>
      </c>
      <c r="G304" t="s">
        <v>22</v>
      </c>
      <c r="H304">
        <v>0</v>
      </c>
      <c r="I304" t="s">
        <v>23</v>
      </c>
      <c r="J304" t="s">
        <v>24</v>
      </c>
    </row>
    <row r="305" spans="1:10" x14ac:dyDescent="0.25">
      <c r="A305" s="1" t="s">
        <v>488</v>
      </c>
      <c r="B305" s="1" t="s">
        <v>537</v>
      </c>
      <c r="C305" t="s">
        <v>550</v>
      </c>
      <c r="D305">
        <v>0</v>
      </c>
      <c r="G305" t="s">
        <v>22</v>
      </c>
      <c r="H305">
        <v>0</v>
      </c>
      <c r="I305" t="s">
        <v>23</v>
      </c>
      <c r="J305" t="s">
        <v>24</v>
      </c>
    </row>
    <row r="306" spans="1:10" x14ac:dyDescent="0.25">
      <c r="A306" s="1" t="s">
        <v>489</v>
      </c>
      <c r="B306" s="1" t="s">
        <v>538</v>
      </c>
      <c r="C306" t="s">
        <v>550</v>
      </c>
      <c r="D306">
        <v>0</v>
      </c>
      <c r="G306" t="s">
        <v>22</v>
      </c>
      <c r="H306">
        <v>0</v>
      </c>
      <c r="I306" t="s">
        <v>23</v>
      </c>
      <c r="J306" t="s">
        <v>24</v>
      </c>
    </row>
    <row r="307" spans="1:10" x14ac:dyDescent="0.25">
      <c r="A307" s="1" t="s">
        <v>490</v>
      </c>
      <c r="B307" s="1" t="s">
        <v>539</v>
      </c>
      <c r="C307" t="s">
        <v>550</v>
      </c>
      <c r="D307">
        <v>0</v>
      </c>
      <c r="G307" t="s">
        <v>22</v>
      </c>
      <c r="H307">
        <v>0</v>
      </c>
      <c r="I307" t="s">
        <v>23</v>
      </c>
      <c r="J307" t="s">
        <v>24</v>
      </c>
    </row>
    <row r="308" spans="1:10" x14ac:dyDescent="0.25">
      <c r="A308" s="1" t="s">
        <v>491</v>
      </c>
      <c r="B308" s="1" t="s">
        <v>540</v>
      </c>
      <c r="C308" t="s">
        <v>550</v>
      </c>
      <c r="D308">
        <v>0</v>
      </c>
      <c r="G308" t="s">
        <v>22</v>
      </c>
      <c r="H308">
        <v>0</v>
      </c>
      <c r="I308" t="s">
        <v>23</v>
      </c>
      <c r="J308" t="s">
        <v>24</v>
      </c>
    </row>
    <row r="309" spans="1:10" x14ac:dyDescent="0.25">
      <c r="A309" s="1" t="s">
        <v>492</v>
      </c>
      <c r="B309" s="1" t="s">
        <v>541</v>
      </c>
      <c r="C309" t="s">
        <v>550</v>
      </c>
      <c r="D309">
        <v>0</v>
      </c>
      <c r="G309" t="s">
        <v>22</v>
      </c>
      <c r="H309">
        <v>0</v>
      </c>
      <c r="I309" t="s">
        <v>23</v>
      </c>
      <c r="J309" t="s">
        <v>24</v>
      </c>
    </row>
    <row r="310" spans="1:10" x14ac:dyDescent="0.25">
      <c r="A310" s="1" t="s">
        <v>493</v>
      </c>
      <c r="B310" s="1" t="s">
        <v>542</v>
      </c>
      <c r="C310" t="s">
        <v>550</v>
      </c>
      <c r="D310">
        <v>0</v>
      </c>
      <c r="G310" t="s">
        <v>22</v>
      </c>
      <c r="H310">
        <v>0</v>
      </c>
      <c r="I310" t="s">
        <v>23</v>
      </c>
      <c r="J310" t="s">
        <v>24</v>
      </c>
    </row>
    <row r="311" spans="1:10" x14ac:dyDescent="0.25">
      <c r="A311" s="1" t="s">
        <v>494</v>
      </c>
      <c r="B311" s="1" t="s">
        <v>543</v>
      </c>
      <c r="C311" t="s">
        <v>550</v>
      </c>
      <c r="D311">
        <v>0</v>
      </c>
      <c r="G311" t="s">
        <v>22</v>
      </c>
      <c r="H311">
        <v>0</v>
      </c>
      <c r="I311" t="s">
        <v>23</v>
      </c>
      <c r="J311" t="s">
        <v>24</v>
      </c>
    </row>
    <row r="312" spans="1:10" x14ac:dyDescent="0.25">
      <c r="A312" s="1" t="s">
        <v>495</v>
      </c>
      <c r="B312" s="1" t="s">
        <v>544</v>
      </c>
      <c r="C312" t="s">
        <v>550</v>
      </c>
      <c r="D312">
        <v>0</v>
      </c>
      <c r="G312" t="s">
        <v>22</v>
      </c>
      <c r="H312">
        <v>0</v>
      </c>
      <c r="I312" t="s">
        <v>23</v>
      </c>
      <c r="J312" t="s">
        <v>24</v>
      </c>
    </row>
    <row r="313" spans="1:10" x14ac:dyDescent="0.25">
      <c r="A313" s="1" t="s">
        <v>496</v>
      </c>
      <c r="B313" s="1" t="s">
        <v>545</v>
      </c>
      <c r="C313" t="s">
        <v>550</v>
      </c>
      <c r="D313">
        <v>0</v>
      </c>
      <c r="G313" t="s">
        <v>22</v>
      </c>
      <c r="H313">
        <v>0</v>
      </c>
      <c r="I313" t="s">
        <v>23</v>
      </c>
      <c r="J313" t="s">
        <v>24</v>
      </c>
    </row>
    <row r="314" spans="1:10" x14ac:dyDescent="0.25">
      <c r="A314" s="1" t="s">
        <v>497</v>
      </c>
      <c r="B314" s="1" t="s">
        <v>546</v>
      </c>
      <c r="C314" t="s">
        <v>550</v>
      </c>
      <c r="D314">
        <v>0</v>
      </c>
      <c r="G314" t="s">
        <v>22</v>
      </c>
      <c r="H314">
        <v>0</v>
      </c>
      <c r="I314" t="s">
        <v>23</v>
      </c>
      <c r="J314" t="s">
        <v>24</v>
      </c>
    </row>
    <row r="315" spans="1:10" x14ac:dyDescent="0.25">
      <c r="A315" s="1" t="s">
        <v>498</v>
      </c>
      <c r="B315" s="1" t="s">
        <v>547</v>
      </c>
      <c r="C315" t="s">
        <v>550</v>
      </c>
      <c r="D315">
        <v>0</v>
      </c>
      <c r="G315" t="s">
        <v>22</v>
      </c>
      <c r="H315">
        <v>0</v>
      </c>
      <c r="I315" t="s">
        <v>23</v>
      </c>
      <c r="J315" t="s">
        <v>24</v>
      </c>
    </row>
    <row r="316" spans="1:10" x14ac:dyDescent="0.25">
      <c r="A316" s="1" t="s">
        <v>499</v>
      </c>
      <c r="B316" s="1" t="s">
        <v>548</v>
      </c>
      <c r="C316" t="s">
        <v>550</v>
      </c>
      <c r="D316">
        <v>0</v>
      </c>
      <c r="G316" t="s">
        <v>22</v>
      </c>
      <c r="H316">
        <v>0</v>
      </c>
      <c r="I316" t="s">
        <v>23</v>
      </c>
      <c r="J316" t="s">
        <v>24</v>
      </c>
    </row>
    <row r="317" spans="1:10" x14ac:dyDescent="0.25">
      <c r="A317" s="1" t="s">
        <v>500</v>
      </c>
      <c r="B317" s="1" t="s">
        <v>549</v>
      </c>
      <c r="C317" t="s">
        <v>550</v>
      </c>
      <c r="D317">
        <v>0</v>
      </c>
      <c r="G317" t="s">
        <v>22</v>
      </c>
      <c r="H317">
        <v>0</v>
      </c>
      <c r="I317" t="s">
        <v>23</v>
      </c>
      <c r="J317" t="s">
        <v>24</v>
      </c>
    </row>
  </sheetData>
  <conditionalFormatting sqref="B1:B1048576">
    <cfRule type="duplicateValues" dxfId="1" priority="9"/>
  </conditionalFormatting>
  <conditionalFormatting sqref="A1:A1048576">
    <cfRule type="duplicateValues" dxfId="0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71"/>
  <sheetViews>
    <sheetView topLeftCell="A205" workbookViewId="0">
      <selection activeCell="C195" sqref="C195:C271"/>
    </sheetView>
  </sheetViews>
  <sheetFormatPr defaultRowHeight="15.75" x14ac:dyDescent="0.25"/>
  <cols>
    <col min="1" max="1" width="14.25" style="1" bestFit="1" customWidth="1"/>
    <col min="2" max="2" width="8.25" style="4" customWidth="1"/>
    <col min="3" max="3" width="14.25" style="1" bestFit="1" customWidth="1"/>
    <col min="4" max="4" width="8.25" style="8" customWidth="1"/>
  </cols>
  <sheetData>
    <row r="2" spans="1:4" ht="16.5" thickBot="1" x14ac:dyDescent="0.3"/>
    <row r="3" spans="1:4" ht="26.25" thickBot="1" x14ac:dyDescent="0.3">
      <c r="B3" s="3" t="s">
        <v>23</v>
      </c>
      <c r="D3" s="9" t="s">
        <v>95</v>
      </c>
    </row>
    <row r="4" spans="1:4" x14ac:dyDescent="0.25">
      <c r="B4" s="5" t="s">
        <v>94</v>
      </c>
      <c r="D4" s="10"/>
    </row>
    <row r="5" spans="1:4" x14ac:dyDescent="0.25">
      <c r="A5" s="1" t="s">
        <v>96</v>
      </c>
      <c r="B5" s="6">
        <v>4.1000000000000002E-2</v>
      </c>
      <c r="C5" s="1" t="s">
        <v>96</v>
      </c>
      <c r="D5" s="11">
        <v>0.54</v>
      </c>
    </row>
    <row r="6" spans="1:4" x14ac:dyDescent="0.25">
      <c r="A6" s="1" t="s">
        <v>97</v>
      </c>
      <c r="B6" s="6">
        <v>7.0000000000000007E-2</v>
      </c>
      <c r="C6" s="1" t="s">
        <v>97</v>
      </c>
      <c r="D6" s="11">
        <v>0.49</v>
      </c>
    </row>
    <row r="7" spans="1:4" x14ac:dyDescent="0.25">
      <c r="A7" s="1" t="s">
        <v>98</v>
      </c>
      <c r="B7" s="6">
        <v>0.1</v>
      </c>
      <c r="C7" s="1" t="s">
        <v>98</v>
      </c>
      <c r="D7" s="11">
        <v>0.51</v>
      </c>
    </row>
    <row r="8" spans="1:4" x14ac:dyDescent="0.25">
      <c r="A8" s="1" t="s">
        <v>99</v>
      </c>
      <c r="B8" s="6">
        <v>0.13</v>
      </c>
      <c r="C8" s="1" t="s">
        <v>99</v>
      </c>
      <c r="D8" s="11">
        <v>0.56999999999999995</v>
      </c>
    </row>
    <row r="9" spans="1:4" x14ac:dyDescent="0.25">
      <c r="A9" s="1" t="s">
        <v>100</v>
      </c>
      <c r="B9" s="6">
        <v>0.17</v>
      </c>
      <c r="C9" s="1" t="s">
        <v>100</v>
      </c>
      <c r="D9" s="11">
        <v>0.62</v>
      </c>
    </row>
    <row r="10" spans="1:4" x14ac:dyDescent="0.25">
      <c r="A10" s="1" t="s">
        <v>101</v>
      </c>
      <c r="B10" s="6">
        <v>0.23</v>
      </c>
      <c r="C10" s="1" t="s">
        <v>101</v>
      </c>
      <c r="D10" s="11">
        <v>0.72</v>
      </c>
    </row>
    <row r="11" spans="1:4" x14ac:dyDescent="0.25">
      <c r="A11" s="1" t="s">
        <v>102</v>
      </c>
      <c r="B11" s="6">
        <v>0.27</v>
      </c>
      <c r="C11" s="1" t="s">
        <v>102</v>
      </c>
      <c r="D11" s="11">
        <v>0.82</v>
      </c>
    </row>
    <row r="12" spans="1:4" x14ac:dyDescent="0.25">
      <c r="A12" s="1" t="s">
        <v>103</v>
      </c>
      <c r="B12" s="6">
        <v>0.31</v>
      </c>
      <c r="C12" s="1" t="s">
        <v>103</v>
      </c>
      <c r="D12" s="11">
        <v>0.92</v>
      </c>
    </row>
    <row r="13" spans="1:4" x14ac:dyDescent="0.25">
      <c r="A13" s="1" t="s">
        <v>104</v>
      </c>
      <c r="B13" s="6">
        <v>0.35</v>
      </c>
      <c r="C13" s="1" t="s">
        <v>104</v>
      </c>
      <c r="D13" s="11">
        <v>1.05</v>
      </c>
    </row>
    <row r="14" spans="1:4" x14ac:dyDescent="0.25">
      <c r="A14" s="1" t="s">
        <v>105</v>
      </c>
      <c r="B14" s="6">
        <v>0.4</v>
      </c>
      <c r="C14" s="1" t="s">
        <v>105</v>
      </c>
      <c r="D14" s="11">
        <v>1.19</v>
      </c>
    </row>
    <row r="15" spans="1:4" x14ac:dyDescent="0.25">
      <c r="A15" s="1" t="s">
        <v>106</v>
      </c>
      <c r="B15" s="6">
        <v>0.6</v>
      </c>
      <c r="C15" s="1" t="s">
        <v>106</v>
      </c>
      <c r="D15" s="11">
        <v>1.76</v>
      </c>
    </row>
    <row r="16" spans="1:4" x14ac:dyDescent="0.25">
      <c r="A16" s="1" t="s">
        <v>107</v>
      </c>
      <c r="B16" s="6">
        <v>0.71</v>
      </c>
      <c r="C16" s="1" t="s">
        <v>107</v>
      </c>
      <c r="D16" s="11">
        <v>1.88</v>
      </c>
    </row>
    <row r="17" spans="1:4" x14ac:dyDescent="0.25">
      <c r="A17" s="1" t="s">
        <v>108</v>
      </c>
      <c r="B17" s="6">
        <v>0.88</v>
      </c>
      <c r="C17" s="1" t="s">
        <v>108</v>
      </c>
      <c r="D17" s="11">
        <v>2.4</v>
      </c>
    </row>
    <row r="18" spans="1:4" x14ac:dyDescent="0.25">
      <c r="A18" s="1" t="s">
        <v>109</v>
      </c>
      <c r="B18" s="6">
        <v>1.02</v>
      </c>
      <c r="C18" s="1" t="s">
        <v>109</v>
      </c>
      <c r="D18" s="11">
        <v>2.73</v>
      </c>
    </row>
    <row r="19" spans="1:4" x14ac:dyDescent="0.25">
      <c r="A19" s="1" t="s">
        <v>110</v>
      </c>
      <c r="B19" s="6">
        <v>1.19</v>
      </c>
      <c r="C19" s="1" t="s">
        <v>110</v>
      </c>
      <c r="D19" s="11">
        <v>3.22</v>
      </c>
    </row>
    <row r="20" spans="1:4" x14ac:dyDescent="0.25">
      <c r="A20" s="1" t="s">
        <v>111</v>
      </c>
      <c r="B20" s="6">
        <v>1.45</v>
      </c>
      <c r="C20" s="1" t="s">
        <v>111</v>
      </c>
      <c r="D20" s="11">
        <v>3.77</v>
      </c>
    </row>
    <row r="21" spans="1:4" x14ac:dyDescent="0.25">
      <c r="A21" s="1" t="s">
        <v>112</v>
      </c>
      <c r="B21" s="6">
        <v>1.63</v>
      </c>
      <c r="C21" s="1" t="s">
        <v>112</v>
      </c>
      <c r="D21" s="11">
        <v>4.0999999999999996</v>
      </c>
    </row>
    <row r="22" spans="1:4" x14ac:dyDescent="0.25">
      <c r="A22" s="1" t="s">
        <v>113</v>
      </c>
      <c r="B22" s="6">
        <v>2.0299999999999998</v>
      </c>
      <c r="C22" s="1" t="s">
        <v>113</v>
      </c>
      <c r="D22" s="11">
        <v>4.88</v>
      </c>
    </row>
    <row r="23" spans="1:4" x14ac:dyDescent="0.25">
      <c r="A23" s="1" t="s">
        <v>114</v>
      </c>
      <c r="B23" s="6">
        <v>4.4999999999999998E-2</v>
      </c>
      <c r="C23" s="1" t="s">
        <v>114</v>
      </c>
      <c r="D23" s="11">
        <v>0.53</v>
      </c>
    </row>
    <row r="24" spans="1:4" x14ac:dyDescent="0.25">
      <c r="A24" s="1" t="s">
        <v>115</v>
      </c>
      <c r="B24" s="6">
        <v>0.08</v>
      </c>
      <c r="C24" s="1" t="s">
        <v>115</v>
      </c>
      <c r="D24" s="11">
        <v>0.53</v>
      </c>
    </row>
    <row r="25" spans="1:4" x14ac:dyDescent="0.25">
      <c r="A25" s="1" t="s">
        <v>116</v>
      </c>
      <c r="B25" s="6">
        <v>0.11</v>
      </c>
      <c r="C25" s="1" t="s">
        <v>116</v>
      </c>
      <c r="D25" s="11">
        <v>0.55000000000000004</v>
      </c>
    </row>
    <row r="26" spans="1:4" x14ac:dyDescent="0.25">
      <c r="A26" s="1" t="s">
        <v>117</v>
      </c>
      <c r="B26" s="6">
        <v>0.14000000000000001</v>
      </c>
      <c r="C26" s="1" t="s">
        <v>117</v>
      </c>
      <c r="D26" s="11">
        <v>0.61</v>
      </c>
    </row>
    <row r="27" spans="1:4" x14ac:dyDescent="0.25">
      <c r="A27" s="1" t="s">
        <v>118</v>
      </c>
      <c r="B27" s="6">
        <v>0.19</v>
      </c>
      <c r="C27" s="1" t="s">
        <v>118</v>
      </c>
      <c r="D27" s="11">
        <v>0.7</v>
      </c>
    </row>
    <row r="28" spans="1:4" x14ac:dyDescent="0.25">
      <c r="A28" s="1" t="s">
        <v>119</v>
      </c>
      <c r="B28" s="6">
        <v>0.25</v>
      </c>
      <c r="C28" s="1" t="s">
        <v>119</v>
      </c>
      <c r="D28" s="11">
        <v>0.82</v>
      </c>
    </row>
    <row r="29" spans="1:4" x14ac:dyDescent="0.25">
      <c r="A29" s="1" t="s">
        <v>120</v>
      </c>
      <c r="B29" s="6">
        <v>0.3</v>
      </c>
      <c r="C29" s="1" t="s">
        <v>120</v>
      </c>
      <c r="D29" s="11">
        <v>0.9</v>
      </c>
    </row>
    <row r="30" spans="1:4" x14ac:dyDescent="0.25">
      <c r="A30" s="1" t="s">
        <v>121</v>
      </c>
      <c r="B30" s="6">
        <v>0.35</v>
      </c>
      <c r="C30" s="1" t="s">
        <v>121</v>
      </c>
      <c r="D30" s="11">
        <v>1</v>
      </c>
    </row>
    <row r="31" spans="1:4" x14ac:dyDescent="0.25">
      <c r="A31" s="1" t="s">
        <v>122</v>
      </c>
      <c r="B31" s="6">
        <v>0.39</v>
      </c>
      <c r="C31" s="1" t="s">
        <v>122</v>
      </c>
      <c r="D31" s="11">
        <v>1.1499999999999999</v>
      </c>
    </row>
    <row r="32" spans="1:4" x14ac:dyDescent="0.25">
      <c r="A32" s="1" t="s">
        <v>123</v>
      </c>
      <c r="B32" s="6">
        <v>0.46</v>
      </c>
      <c r="C32" s="1" t="s">
        <v>123</v>
      </c>
      <c r="D32" s="11">
        <v>1.31</v>
      </c>
    </row>
    <row r="33" spans="1:4" x14ac:dyDescent="0.25">
      <c r="A33" s="1" t="s">
        <v>124</v>
      </c>
      <c r="B33" s="6">
        <v>0.72</v>
      </c>
      <c r="C33" s="1" t="s">
        <v>124</v>
      </c>
      <c r="D33" s="11">
        <v>1.78</v>
      </c>
    </row>
    <row r="34" spans="1:4" x14ac:dyDescent="0.25">
      <c r="A34" s="1" t="s">
        <v>125</v>
      </c>
      <c r="B34" s="6">
        <v>0.83</v>
      </c>
      <c r="C34" s="1" t="s">
        <v>125</v>
      </c>
      <c r="D34" s="11">
        <v>2.2999999999999998</v>
      </c>
    </row>
    <row r="35" spans="1:4" x14ac:dyDescent="0.25">
      <c r="A35" s="1" t="s">
        <v>126</v>
      </c>
      <c r="B35" s="6">
        <v>1.03</v>
      </c>
      <c r="C35" s="1" t="s">
        <v>126</v>
      </c>
      <c r="D35" s="11">
        <v>2.48</v>
      </c>
    </row>
    <row r="36" spans="1:4" x14ac:dyDescent="0.25">
      <c r="A36" s="1" t="s">
        <v>127</v>
      </c>
      <c r="B36" s="6">
        <v>1.18</v>
      </c>
      <c r="C36" s="1" t="s">
        <v>127</v>
      </c>
      <c r="D36" s="11">
        <v>3</v>
      </c>
    </row>
    <row r="37" spans="1:4" x14ac:dyDescent="0.25">
      <c r="A37" s="1" t="s">
        <v>128</v>
      </c>
      <c r="B37" s="7">
        <v>1.37</v>
      </c>
      <c r="C37" s="1" t="s">
        <v>128</v>
      </c>
      <c r="D37" s="11">
        <v>3.32</v>
      </c>
    </row>
    <row r="38" spans="1:4" x14ac:dyDescent="0.25">
      <c r="A38" s="1" t="s">
        <v>129</v>
      </c>
      <c r="B38" s="7">
        <v>1.51</v>
      </c>
      <c r="C38" s="1" t="s">
        <v>129</v>
      </c>
      <c r="D38" s="11">
        <v>3.9</v>
      </c>
    </row>
    <row r="39" spans="1:4" x14ac:dyDescent="0.25">
      <c r="A39" s="1" t="s">
        <v>130</v>
      </c>
      <c r="B39" s="7">
        <v>1.73</v>
      </c>
      <c r="C39" s="1" t="s">
        <v>130</v>
      </c>
      <c r="D39" s="11">
        <v>4.3</v>
      </c>
    </row>
    <row r="40" spans="1:4" x14ac:dyDescent="0.25">
      <c r="A40" s="1" t="s">
        <v>131</v>
      </c>
      <c r="B40" s="7">
        <v>2.16</v>
      </c>
      <c r="C40" s="1" t="s">
        <v>131</v>
      </c>
      <c r="D40" s="11">
        <v>5.86</v>
      </c>
    </row>
    <row r="41" spans="1:4" x14ac:dyDescent="0.25">
      <c r="A41" s="1" t="s">
        <v>132</v>
      </c>
      <c r="B41" s="7">
        <v>2.61</v>
      </c>
      <c r="C41" s="1" t="s">
        <v>132</v>
      </c>
      <c r="D41" s="11">
        <v>8.75</v>
      </c>
    </row>
    <row r="42" spans="1:4" x14ac:dyDescent="0.25">
      <c r="A42" s="1" t="s">
        <v>133</v>
      </c>
      <c r="B42" s="7">
        <v>3.63</v>
      </c>
      <c r="C42" s="1" t="s">
        <v>133</v>
      </c>
      <c r="D42" s="11">
        <v>10.6</v>
      </c>
    </row>
    <row r="43" spans="1:4" x14ac:dyDescent="0.25">
      <c r="A43" s="1" t="s">
        <v>134</v>
      </c>
      <c r="B43" s="7">
        <v>4.33</v>
      </c>
      <c r="C43" s="1" t="s">
        <v>134</v>
      </c>
      <c r="D43" s="11">
        <v>17.8</v>
      </c>
    </row>
    <row r="44" spans="1:4" x14ac:dyDescent="0.25">
      <c r="A44" s="1" t="s">
        <v>135</v>
      </c>
      <c r="B44" s="7">
        <v>5.49</v>
      </c>
      <c r="C44" s="1" t="s">
        <v>135</v>
      </c>
      <c r="D44" s="11"/>
    </row>
    <row r="45" spans="1:4" x14ac:dyDescent="0.25">
      <c r="A45" s="1" t="s">
        <v>136</v>
      </c>
      <c r="B45" s="7">
        <v>7.57</v>
      </c>
      <c r="C45" s="1" t="s">
        <v>136</v>
      </c>
      <c r="D45" s="11">
        <v>26.31</v>
      </c>
    </row>
    <row r="46" spans="1:4" x14ac:dyDescent="0.25">
      <c r="A46" s="1" t="s">
        <v>137</v>
      </c>
      <c r="B46" s="7">
        <v>4.7E-2</v>
      </c>
      <c r="C46" s="1" t="s">
        <v>137</v>
      </c>
      <c r="D46" s="11">
        <v>0.64</v>
      </c>
    </row>
    <row r="47" spans="1:4" x14ac:dyDescent="0.25">
      <c r="A47" s="1" t="s">
        <v>138</v>
      </c>
      <c r="B47" s="7">
        <v>8.6999999999999994E-2</v>
      </c>
      <c r="C47" s="1" t="s">
        <v>138</v>
      </c>
      <c r="D47" s="11">
        <v>0.59</v>
      </c>
    </row>
    <row r="48" spans="1:4" x14ac:dyDescent="0.25">
      <c r="A48" s="1" t="s">
        <v>139</v>
      </c>
      <c r="B48" s="7">
        <v>0.11700000000000001</v>
      </c>
      <c r="C48" s="1" t="s">
        <v>139</v>
      </c>
      <c r="D48" s="11">
        <v>0.61</v>
      </c>
    </row>
    <row r="49" spans="1:4" x14ac:dyDescent="0.25">
      <c r="A49" s="1" t="s">
        <v>140</v>
      </c>
      <c r="B49" s="7">
        <v>0.17100000000000001</v>
      </c>
      <c r="C49" s="1" t="s">
        <v>140</v>
      </c>
      <c r="D49" s="11">
        <v>0.66</v>
      </c>
    </row>
    <row r="50" spans="1:4" x14ac:dyDescent="0.25">
      <c r="A50" s="1" t="s">
        <v>141</v>
      </c>
      <c r="B50" s="7">
        <v>0.222</v>
      </c>
      <c r="C50" s="1" t="s">
        <v>141</v>
      </c>
      <c r="D50" s="11">
        <v>0.8</v>
      </c>
    </row>
    <row r="51" spans="1:4" x14ac:dyDescent="0.25">
      <c r="A51" s="1" t="s">
        <v>142</v>
      </c>
      <c r="B51" s="6">
        <v>0.28000000000000003</v>
      </c>
      <c r="C51" s="1" t="s">
        <v>142</v>
      </c>
      <c r="D51" s="11">
        <v>0.86</v>
      </c>
    </row>
    <row r="52" spans="1:4" x14ac:dyDescent="0.25">
      <c r="A52" s="1" t="s">
        <v>143</v>
      </c>
      <c r="B52" s="6">
        <v>0.35299999999999998</v>
      </c>
      <c r="C52" s="1" t="s">
        <v>143</v>
      </c>
      <c r="D52" s="11">
        <v>0.98</v>
      </c>
    </row>
    <row r="53" spans="1:4" x14ac:dyDescent="0.25">
      <c r="A53" s="1" t="s">
        <v>144</v>
      </c>
      <c r="B53" s="6">
        <v>0.42599999999999999</v>
      </c>
      <c r="C53" s="1" t="s">
        <v>144</v>
      </c>
      <c r="D53" s="11">
        <v>1.1499999999999999</v>
      </c>
    </row>
    <row r="54" spans="1:4" x14ac:dyDescent="0.25">
      <c r="A54" s="1" t="s">
        <v>145</v>
      </c>
      <c r="B54" s="6">
        <v>0.53300000000000003</v>
      </c>
      <c r="C54" s="1" t="s">
        <v>145</v>
      </c>
      <c r="D54" s="11">
        <v>1.39</v>
      </c>
    </row>
    <row r="55" spans="1:4" x14ac:dyDescent="0.25">
      <c r="A55" s="1" t="s">
        <v>146</v>
      </c>
      <c r="B55" s="6">
        <v>0.55300000000000005</v>
      </c>
      <c r="C55" s="1" t="s">
        <v>146</v>
      </c>
      <c r="D55" s="11">
        <v>1.6</v>
      </c>
    </row>
    <row r="56" spans="1:4" x14ac:dyDescent="0.25">
      <c r="A56" s="1" t="s">
        <v>147</v>
      </c>
      <c r="B56" s="6">
        <v>0.89500000000000002</v>
      </c>
      <c r="C56" s="1" t="s">
        <v>147</v>
      </c>
      <c r="D56" s="11">
        <v>2.44</v>
      </c>
    </row>
    <row r="57" spans="1:4" x14ac:dyDescent="0.25">
      <c r="A57" s="1" t="s">
        <v>148</v>
      </c>
      <c r="B57" s="6">
        <v>1.1599999999999999</v>
      </c>
      <c r="C57" s="1" t="s">
        <v>148</v>
      </c>
      <c r="D57" s="11">
        <v>2.73</v>
      </c>
    </row>
    <row r="58" spans="1:4" x14ac:dyDescent="0.25">
      <c r="A58" s="1" t="s">
        <v>149</v>
      </c>
      <c r="B58" s="6">
        <v>1.27</v>
      </c>
      <c r="C58" s="1" t="s">
        <v>149</v>
      </c>
      <c r="D58" s="11">
        <v>3.51</v>
      </c>
    </row>
    <row r="59" spans="1:4" x14ac:dyDescent="0.25">
      <c r="A59" s="1" t="s">
        <v>150</v>
      </c>
      <c r="B59" s="6">
        <v>1.55</v>
      </c>
      <c r="C59" s="1" t="s">
        <v>150</v>
      </c>
      <c r="D59" s="11">
        <v>3.81</v>
      </c>
    </row>
    <row r="60" spans="1:4" x14ac:dyDescent="0.25">
      <c r="A60" s="1" t="s">
        <v>151</v>
      </c>
      <c r="B60" s="6">
        <v>1.69</v>
      </c>
      <c r="C60" s="1" t="s">
        <v>151</v>
      </c>
      <c r="D60" s="11">
        <v>4.3</v>
      </c>
    </row>
    <row r="61" spans="1:4" x14ac:dyDescent="0.25">
      <c r="A61" s="1" t="s">
        <v>152</v>
      </c>
      <c r="B61" s="6">
        <v>2.06</v>
      </c>
      <c r="C61" s="1" t="s">
        <v>152</v>
      </c>
      <c r="D61" s="11">
        <v>4.9800000000000004</v>
      </c>
    </row>
    <row r="62" spans="1:4" x14ac:dyDescent="0.25">
      <c r="A62" s="1" t="s">
        <v>153</v>
      </c>
      <c r="B62" s="6">
        <v>2.17</v>
      </c>
      <c r="C62" s="1" t="s">
        <v>153</v>
      </c>
      <c r="D62" s="11">
        <v>5.86</v>
      </c>
    </row>
    <row r="63" spans="1:4" x14ac:dyDescent="0.25">
      <c r="A63" s="1" t="s">
        <v>154</v>
      </c>
      <c r="B63" s="6">
        <v>2.74</v>
      </c>
      <c r="C63" s="1" t="s">
        <v>154</v>
      </c>
      <c r="D63" s="11">
        <v>7.22</v>
      </c>
    </row>
    <row r="64" spans="1:4" x14ac:dyDescent="0.25">
      <c r="A64" s="1" t="s">
        <v>155</v>
      </c>
      <c r="B64" s="6">
        <v>3.18</v>
      </c>
      <c r="C64" s="1" t="s">
        <v>155</v>
      </c>
      <c r="D64" s="11">
        <v>8.7899999999999991</v>
      </c>
    </row>
    <row r="65" spans="1:4" x14ac:dyDescent="0.25">
      <c r="A65" s="1" t="s">
        <v>156</v>
      </c>
      <c r="B65" s="6">
        <v>4.9000000000000004</v>
      </c>
      <c r="C65" s="1" t="s">
        <v>156</v>
      </c>
      <c r="D65" s="11">
        <v>12.89</v>
      </c>
    </row>
    <row r="66" spans="1:4" x14ac:dyDescent="0.25">
      <c r="A66" s="1" t="s">
        <v>157</v>
      </c>
      <c r="B66" s="6">
        <v>5.94</v>
      </c>
      <c r="C66" s="1" t="s">
        <v>157</v>
      </c>
      <c r="D66" s="11">
        <v>14.64</v>
      </c>
    </row>
    <row r="67" spans="1:4" x14ac:dyDescent="0.25">
      <c r="A67" s="1" t="s">
        <v>158</v>
      </c>
      <c r="B67" s="6">
        <v>6.71</v>
      </c>
      <c r="C67" s="1" t="s">
        <v>158</v>
      </c>
      <c r="D67" s="11">
        <v>18.350000000000001</v>
      </c>
    </row>
    <row r="68" spans="1:4" x14ac:dyDescent="0.25">
      <c r="A68" s="1" t="s">
        <v>159</v>
      </c>
      <c r="B68" s="6">
        <v>9.65</v>
      </c>
      <c r="C68" s="1" t="s">
        <v>159</v>
      </c>
      <c r="D68" s="11">
        <v>25.38</v>
      </c>
    </row>
    <row r="69" spans="1:4" x14ac:dyDescent="0.25">
      <c r="A69" s="1" t="s">
        <v>160</v>
      </c>
      <c r="B69" s="6">
        <v>10.199999999999999</v>
      </c>
      <c r="C69" s="1" t="s">
        <v>160</v>
      </c>
      <c r="D69" s="11">
        <v>31.43</v>
      </c>
    </row>
    <row r="70" spans="1:4" x14ac:dyDescent="0.25">
      <c r="A70" s="1" t="s">
        <v>161</v>
      </c>
      <c r="B70" s="6">
        <v>12</v>
      </c>
      <c r="C70" s="1" t="s">
        <v>161</v>
      </c>
      <c r="D70" s="11">
        <v>34.75</v>
      </c>
    </row>
    <row r="71" spans="1:4" x14ac:dyDescent="0.25">
      <c r="A71" s="1" t="s">
        <v>162</v>
      </c>
      <c r="B71" s="6">
        <v>12.7</v>
      </c>
      <c r="C71" s="1" t="s">
        <v>162</v>
      </c>
      <c r="D71" s="12">
        <v>40.799999999999997</v>
      </c>
    </row>
    <row r="72" spans="1:4" x14ac:dyDescent="0.25">
      <c r="A72" s="1" t="s">
        <v>163</v>
      </c>
      <c r="B72" s="6">
        <v>14</v>
      </c>
      <c r="C72" s="1" t="s">
        <v>163</v>
      </c>
      <c r="D72" s="12">
        <v>50.37</v>
      </c>
    </row>
    <row r="73" spans="1:4" x14ac:dyDescent="0.25">
      <c r="A73" s="1" t="s">
        <v>551</v>
      </c>
      <c r="C73" s="1" t="s">
        <v>551</v>
      </c>
      <c r="D73" s="2">
        <v>3.21</v>
      </c>
    </row>
    <row r="74" spans="1:4" x14ac:dyDescent="0.25">
      <c r="A74" s="1" t="s">
        <v>552</v>
      </c>
      <c r="C74" s="1" t="s">
        <v>552</v>
      </c>
      <c r="D74" s="2">
        <v>3.21</v>
      </c>
    </row>
    <row r="75" spans="1:4" x14ac:dyDescent="0.25">
      <c r="A75" s="1" t="s">
        <v>553</v>
      </c>
      <c r="C75" s="1" t="s">
        <v>553</v>
      </c>
      <c r="D75" s="2">
        <v>3.57</v>
      </c>
    </row>
    <row r="76" spans="1:4" x14ac:dyDescent="0.25">
      <c r="A76" s="1" t="s">
        <v>554</v>
      </c>
      <c r="C76" s="1" t="s">
        <v>554</v>
      </c>
      <c r="D76" s="2">
        <v>4.0199999999999996</v>
      </c>
    </row>
    <row r="77" spans="1:4" x14ac:dyDescent="0.25">
      <c r="A77" s="1" t="s">
        <v>555</v>
      </c>
      <c r="C77" s="1" t="s">
        <v>555</v>
      </c>
      <c r="D77" s="2">
        <v>4.2</v>
      </c>
    </row>
    <row r="78" spans="1:4" x14ac:dyDescent="0.25">
      <c r="A78" s="1" t="s">
        <v>556</v>
      </c>
      <c r="C78" s="1" t="s">
        <v>556</v>
      </c>
      <c r="D78" s="2">
        <v>4.55</v>
      </c>
    </row>
    <row r="79" spans="1:4" x14ac:dyDescent="0.25">
      <c r="A79" s="1" t="s">
        <v>557</v>
      </c>
      <c r="C79" s="1" t="s">
        <v>557</v>
      </c>
      <c r="D79" s="2">
        <v>5.36</v>
      </c>
    </row>
    <row r="80" spans="1:4" x14ac:dyDescent="0.25">
      <c r="A80" s="1" t="s">
        <v>558</v>
      </c>
      <c r="C80" s="1" t="s">
        <v>558</v>
      </c>
      <c r="D80" s="2">
        <v>5.89</v>
      </c>
    </row>
    <row r="81" spans="1:4" x14ac:dyDescent="0.25">
      <c r="A81" s="1" t="s">
        <v>559</v>
      </c>
      <c r="C81" s="1" t="s">
        <v>559</v>
      </c>
      <c r="D81" s="2">
        <v>7.5</v>
      </c>
    </row>
    <row r="82" spans="1:4" x14ac:dyDescent="0.25">
      <c r="A82" s="1" t="s">
        <v>560</v>
      </c>
      <c r="C82" s="1" t="s">
        <v>560</v>
      </c>
      <c r="D82" s="2">
        <v>8.57</v>
      </c>
    </row>
    <row r="83" spans="1:4" x14ac:dyDescent="0.25">
      <c r="A83" s="1" t="s">
        <v>561</v>
      </c>
      <c r="C83" s="1" t="s">
        <v>561</v>
      </c>
      <c r="D83" s="2">
        <v>8.57</v>
      </c>
    </row>
    <row r="84" spans="1:4" x14ac:dyDescent="0.25">
      <c r="A84" s="1" t="s">
        <v>562</v>
      </c>
      <c r="C84" s="1" t="s">
        <v>562</v>
      </c>
      <c r="D84" s="2">
        <v>10</v>
      </c>
    </row>
    <row r="85" spans="1:4" x14ac:dyDescent="0.25">
      <c r="A85" s="1" t="s">
        <v>563</v>
      </c>
      <c r="C85" s="1" t="s">
        <v>563</v>
      </c>
      <c r="D85" s="2">
        <v>11.25</v>
      </c>
    </row>
    <row r="86" spans="1:4" x14ac:dyDescent="0.25">
      <c r="A86" s="1" t="s">
        <v>564</v>
      </c>
      <c r="C86" s="1" t="s">
        <v>564</v>
      </c>
      <c r="D86" s="2">
        <v>13.93</v>
      </c>
    </row>
    <row r="87" spans="1:4" x14ac:dyDescent="0.25">
      <c r="A87" s="1" t="s">
        <v>565</v>
      </c>
      <c r="C87" s="1" t="s">
        <v>565</v>
      </c>
      <c r="D87" s="2">
        <v>16.96</v>
      </c>
    </row>
    <row r="88" spans="1:4" x14ac:dyDescent="0.25">
      <c r="A88" s="1" t="s">
        <v>566</v>
      </c>
      <c r="C88" s="1" t="s">
        <v>566</v>
      </c>
      <c r="D88" s="2">
        <v>17.86</v>
      </c>
    </row>
    <row r="89" spans="1:4" x14ac:dyDescent="0.25">
      <c r="A89" s="1" t="s">
        <v>567</v>
      </c>
      <c r="C89" s="1" t="s">
        <v>567</v>
      </c>
      <c r="D89" s="2">
        <v>24.11</v>
      </c>
    </row>
    <row r="90" spans="1:4" x14ac:dyDescent="0.25">
      <c r="A90" s="1" t="s">
        <v>568</v>
      </c>
      <c r="C90" s="1" t="s">
        <v>568</v>
      </c>
      <c r="D90" s="2">
        <v>27.68</v>
      </c>
    </row>
    <row r="91" spans="1:4" x14ac:dyDescent="0.25">
      <c r="A91" s="1" t="s">
        <v>569</v>
      </c>
      <c r="C91" s="1" t="s">
        <v>569</v>
      </c>
      <c r="D91" s="2">
        <v>31.25</v>
      </c>
    </row>
    <row r="92" spans="1:4" x14ac:dyDescent="0.25">
      <c r="A92" s="1" t="s">
        <v>570</v>
      </c>
      <c r="C92" s="1" t="s">
        <v>570</v>
      </c>
      <c r="D92" s="2">
        <v>6.61</v>
      </c>
    </row>
    <row r="93" spans="1:4" x14ac:dyDescent="0.25">
      <c r="A93" s="1" t="s">
        <v>571</v>
      </c>
      <c r="C93" s="1" t="s">
        <v>571</v>
      </c>
      <c r="D93" s="2">
        <v>7.14</v>
      </c>
    </row>
    <row r="94" spans="1:4" x14ac:dyDescent="0.25">
      <c r="A94" s="1" t="s">
        <v>572</v>
      </c>
      <c r="C94" s="1" t="s">
        <v>572</v>
      </c>
      <c r="D94" s="2">
        <v>7.5</v>
      </c>
    </row>
    <row r="95" spans="1:4" x14ac:dyDescent="0.25">
      <c r="A95" s="1" t="s">
        <v>573</v>
      </c>
      <c r="C95" s="1" t="s">
        <v>573</v>
      </c>
      <c r="D95" s="2">
        <v>7.68</v>
      </c>
    </row>
    <row r="96" spans="1:4" x14ac:dyDescent="0.25">
      <c r="A96" s="1" t="s">
        <v>574</v>
      </c>
      <c r="C96" s="1" t="s">
        <v>574</v>
      </c>
      <c r="D96" s="2">
        <v>8.39</v>
      </c>
    </row>
    <row r="97" spans="1:4" x14ac:dyDescent="0.25">
      <c r="A97" s="1" t="s">
        <v>575</v>
      </c>
      <c r="C97" s="1" t="s">
        <v>575</v>
      </c>
      <c r="D97" s="2">
        <v>10</v>
      </c>
    </row>
    <row r="98" spans="1:4" x14ac:dyDescent="0.25">
      <c r="A98" s="1" t="s">
        <v>576</v>
      </c>
      <c r="C98" s="1" t="s">
        <v>576</v>
      </c>
      <c r="D98" s="2">
        <v>10.71</v>
      </c>
    </row>
    <row r="99" spans="1:4" x14ac:dyDescent="0.25">
      <c r="A99" s="1" t="s">
        <v>577</v>
      </c>
      <c r="C99" s="1" t="s">
        <v>577</v>
      </c>
      <c r="D99" s="2">
        <v>13.39</v>
      </c>
    </row>
    <row r="100" spans="1:4" x14ac:dyDescent="0.25">
      <c r="A100" s="1" t="s">
        <v>578</v>
      </c>
      <c r="C100" s="1" t="s">
        <v>578</v>
      </c>
      <c r="D100" s="2">
        <v>13.93</v>
      </c>
    </row>
    <row r="101" spans="1:4" x14ac:dyDescent="0.25">
      <c r="A101" s="1" t="s">
        <v>579</v>
      </c>
      <c r="C101" s="1" t="s">
        <v>579</v>
      </c>
      <c r="D101" s="2">
        <v>13.93</v>
      </c>
    </row>
    <row r="102" spans="1:4" x14ac:dyDescent="0.25">
      <c r="A102" s="1" t="s">
        <v>580</v>
      </c>
      <c r="C102" s="1" t="s">
        <v>580</v>
      </c>
      <c r="D102" s="2">
        <v>18.75</v>
      </c>
    </row>
    <row r="103" spans="1:4" x14ac:dyDescent="0.25">
      <c r="A103" s="1" t="s">
        <v>581</v>
      </c>
      <c r="C103" s="1" t="s">
        <v>581</v>
      </c>
      <c r="D103" s="2">
        <v>20.54</v>
      </c>
    </row>
    <row r="104" spans="1:4" x14ac:dyDescent="0.25">
      <c r="A104" s="1" t="s">
        <v>582</v>
      </c>
      <c r="C104" s="1" t="s">
        <v>582</v>
      </c>
      <c r="D104" s="2">
        <v>24.11</v>
      </c>
    </row>
    <row r="105" spans="1:4" x14ac:dyDescent="0.25">
      <c r="A105" s="1" t="s">
        <v>583</v>
      </c>
      <c r="C105" s="1" t="s">
        <v>583</v>
      </c>
      <c r="D105" s="2">
        <v>26.79</v>
      </c>
    </row>
    <row r="106" spans="1:4" x14ac:dyDescent="0.25">
      <c r="A106" s="1" t="s">
        <v>584</v>
      </c>
      <c r="C106" s="1" t="s">
        <v>584</v>
      </c>
      <c r="D106" s="2">
        <v>30.36</v>
      </c>
    </row>
    <row r="107" spans="1:4" x14ac:dyDescent="0.25">
      <c r="A107" s="1" t="s">
        <v>585</v>
      </c>
      <c r="C107" s="1" t="s">
        <v>585</v>
      </c>
      <c r="D107" s="2">
        <v>39.29</v>
      </c>
    </row>
    <row r="108" spans="1:4" x14ac:dyDescent="0.25">
      <c r="A108" s="1" t="s">
        <v>586</v>
      </c>
      <c r="C108" s="1" t="s">
        <v>586</v>
      </c>
      <c r="D108" s="2">
        <v>46.43</v>
      </c>
    </row>
    <row r="109" spans="1:4" x14ac:dyDescent="0.25">
      <c r="A109" s="1" t="s">
        <v>587</v>
      </c>
      <c r="C109" s="1" t="s">
        <v>587</v>
      </c>
      <c r="D109" s="2">
        <v>51.79</v>
      </c>
    </row>
    <row r="110" spans="1:4" x14ac:dyDescent="0.25">
      <c r="A110" s="4" t="s">
        <v>201</v>
      </c>
      <c r="B110" s="14">
        <v>0.48</v>
      </c>
      <c r="C110" s="4" t="s">
        <v>201</v>
      </c>
      <c r="D110" s="17">
        <v>1.35</v>
      </c>
    </row>
    <row r="111" spans="1:4" x14ac:dyDescent="0.25">
      <c r="A111" s="4" t="s">
        <v>202</v>
      </c>
      <c r="B111" s="14">
        <v>0.48</v>
      </c>
      <c r="C111" s="4" t="s">
        <v>202</v>
      </c>
      <c r="D111" s="17">
        <v>1.52</v>
      </c>
    </row>
    <row r="112" spans="1:4" x14ac:dyDescent="0.25">
      <c r="A112" s="4" t="s">
        <v>203</v>
      </c>
      <c r="B112" s="14">
        <v>0.48</v>
      </c>
      <c r="C112" s="4" t="s">
        <v>203</v>
      </c>
      <c r="D112" s="17">
        <v>1.52</v>
      </c>
    </row>
    <row r="113" spans="1:4" x14ac:dyDescent="0.25">
      <c r="A113" s="4" t="s">
        <v>204</v>
      </c>
      <c r="B113" s="15">
        <v>0.4</v>
      </c>
      <c r="C113" s="4" t="s">
        <v>204</v>
      </c>
      <c r="D113" s="17">
        <v>1.35</v>
      </c>
    </row>
    <row r="114" spans="1:4" x14ac:dyDescent="0.25">
      <c r="A114" s="4" t="s">
        <v>205</v>
      </c>
      <c r="B114" s="14">
        <v>0.4</v>
      </c>
      <c r="C114" s="4" t="s">
        <v>205</v>
      </c>
      <c r="D114" s="17">
        <v>1.35</v>
      </c>
    </row>
    <row r="115" spans="1:4" x14ac:dyDescent="0.25">
      <c r="A115" s="4" t="s">
        <v>206</v>
      </c>
      <c r="B115" s="14">
        <v>0.4</v>
      </c>
      <c r="C115" s="4" t="s">
        <v>206</v>
      </c>
      <c r="D115" s="17">
        <v>1.35</v>
      </c>
    </row>
    <row r="116" spans="1:4" x14ac:dyDescent="0.25">
      <c r="A116" s="4" t="s">
        <v>207</v>
      </c>
      <c r="B116" s="14">
        <v>0.4</v>
      </c>
      <c r="C116" s="4" t="s">
        <v>207</v>
      </c>
      <c r="D116" s="17">
        <v>1.35</v>
      </c>
    </row>
    <row r="117" spans="1:4" x14ac:dyDescent="0.25">
      <c r="A117" s="4" t="s">
        <v>208</v>
      </c>
      <c r="B117" s="14">
        <v>0.215</v>
      </c>
      <c r="C117" s="4" t="s">
        <v>208</v>
      </c>
      <c r="D117" s="17">
        <v>0.93</v>
      </c>
    </row>
    <row r="118" spans="1:4" x14ac:dyDescent="0.25">
      <c r="A118" s="4" t="s">
        <v>209</v>
      </c>
      <c r="B118" s="14">
        <v>0.215</v>
      </c>
      <c r="C118" s="4" t="s">
        <v>209</v>
      </c>
      <c r="D118" s="17">
        <v>0.93</v>
      </c>
    </row>
    <row r="119" spans="1:4" x14ac:dyDescent="0.25">
      <c r="A119" s="4" t="s">
        <v>210</v>
      </c>
      <c r="B119" s="14">
        <v>0.216</v>
      </c>
      <c r="C119" s="4" t="s">
        <v>210</v>
      </c>
      <c r="D119" s="17">
        <v>0.93</v>
      </c>
    </row>
    <row r="120" spans="1:4" x14ac:dyDescent="0.25">
      <c r="A120" s="4" t="s">
        <v>211</v>
      </c>
      <c r="B120" s="14">
        <v>0.216</v>
      </c>
      <c r="C120" s="4" t="s">
        <v>211</v>
      </c>
      <c r="D120" s="17">
        <v>0.93</v>
      </c>
    </row>
    <row r="121" spans="1:4" x14ac:dyDescent="0.25">
      <c r="A121" s="4" t="s">
        <v>212</v>
      </c>
      <c r="B121" s="14">
        <v>0.63</v>
      </c>
      <c r="C121" s="4" t="s">
        <v>212</v>
      </c>
      <c r="D121" s="17">
        <v>1.88</v>
      </c>
    </row>
    <row r="122" spans="1:4" x14ac:dyDescent="0.25">
      <c r="A122" s="4" t="s">
        <v>213</v>
      </c>
      <c r="B122" s="14">
        <v>0.63</v>
      </c>
      <c r="C122" s="4" t="s">
        <v>213</v>
      </c>
      <c r="D122" s="17">
        <v>1.88</v>
      </c>
    </row>
    <row r="123" spans="1:4" x14ac:dyDescent="0.25">
      <c r="A123" s="4" t="s">
        <v>214</v>
      </c>
      <c r="B123" s="14">
        <v>0.3</v>
      </c>
      <c r="C123" s="4" t="s">
        <v>214</v>
      </c>
      <c r="D123" s="17">
        <v>1</v>
      </c>
    </row>
    <row r="124" spans="1:4" x14ac:dyDescent="0.25">
      <c r="A124" s="4" t="s">
        <v>215</v>
      </c>
      <c r="B124" s="14">
        <v>0.3</v>
      </c>
      <c r="C124" s="4" t="s">
        <v>215</v>
      </c>
      <c r="D124" s="17">
        <v>1</v>
      </c>
    </row>
    <row r="125" spans="1:4" x14ac:dyDescent="0.25">
      <c r="A125" s="4" t="s">
        <v>216</v>
      </c>
      <c r="B125" s="14">
        <v>0.51</v>
      </c>
      <c r="C125" s="4" t="s">
        <v>216</v>
      </c>
      <c r="D125" s="17">
        <v>1.44</v>
      </c>
    </row>
    <row r="126" spans="1:4" x14ac:dyDescent="0.25">
      <c r="A126" s="4" t="s">
        <v>217</v>
      </c>
      <c r="B126" s="14">
        <v>0.51</v>
      </c>
      <c r="C126" s="4" t="s">
        <v>217</v>
      </c>
      <c r="D126" s="17">
        <v>1.44</v>
      </c>
    </row>
    <row r="127" spans="1:4" x14ac:dyDescent="0.25">
      <c r="A127" s="4" t="s">
        <v>218</v>
      </c>
      <c r="B127" s="14">
        <v>0.86</v>
      </c>
      <c r="C127" s="4" t="s">
        <v>218</v>
      </c>
      <c r="D127" s="17">
        <v>2.1</v>
      </c>
    </row>
    <row r="128" spans="1:4" x14ac:dyDescent="0.25">
      <c r="A128" s="4" t="s">
        <v>219</v>
      </c>
      <c r="B128" s="14">
        <v>0.86</v>
      </c>
      <c r="C128" s="4" t="s">
        <v>219</v>
      </c>
      <c r="D128" s="17">
        <v>2.1</v>
      </c>
    </row>
    <row r="129" spans="1:4" x14ac:dyDescent="0.25">
      <c r="A129" s="4" t="s">
        <v>220</v>
      </c>
      <c r="B129" s="14">
        <v>0.8</v>
      </c>
      <c r="C129" s="4" t="s">
        <v>220</v>
      </c>
      <c r="D129" s="17">
        <v>1.8</v>
      </c>
    </row>
    <row r="130" spans="1:4" x14ac:dyDescent="0.25">
      <c r="A130" s="4" t="s">
        <v>221</v>
      </c>
      <c r="B130" s="14">
        <v>0.8</v>
      </c>
      <c r="C130" s="4" t="s">
        <v>221</v>
      </c>
      <c r="D130" s="17">
        <v>1.8</v>
      </c>
    </row>
    <row r="131" spans="1:4" x14ac:dyDescent="0.25">
      <c r="A131" s="4" t="s">
        <v>222</v>
      </c>
      <c r="B131" s="14">
        <v>0.8</v>
      </c>
      <c r="C131" s="4" t="s">
        <v>222</v>
      </c>
      <c r="D131" s="17">
        <v>1.8</v>
      </c>
    </row>
    <row r="132" spans="1:4" x14ac:dyDescent="0.25">
      <c r="A132" s="4" t="s">
        <v>223</v>
      </c>
      <c r="B132" s="14">
        <v>0.8</v>
      </c>
      <c r="C132" s="4" t="s">
        <v>223</v>
      </c>
      <c r="D132" s="17">
        <v>1.8</v>
      </c>
    </row>
    <row r="133" spans="1:4" x14ac:dyDescent="0.25">
      <c r="A133" s="4" t="s">
        <v>224</v>
      </c>
      <c r="B133" s="14">
        <v>0.67500000000000004</v>
      </c>
      <c r="C133" s="4" t="s">
        <v>224</v>
      </c>
      <c r="D133" s="17">
        <v>1.7</v>
      </c>
    </row>
    <row r="134" spans="1:4" x14ac:dyDescent="0.25">
      <c r="A134" s="4" t="s">
        <v>225</v>
      </c>
      <c r="B134" s="14">
        <v>0.67500000000000004</v>
      </c>
      <c r="C134" s="4" t="s">
        <v>225</v>
      </c>
      <c r="D134" s="17">
        <v>1.7</v>
      </c>
    </row>
    <row r="135" spans="1:4" x14ac:dyDescent="0.25">
      <c r="A135" s="4" t="s">
        <v>226</v>
      </c>
      <c r="B135" s="14">
        <v>0.67500000000000004</v>
      </c>
      <c r="C135" s="4" t="s">
        <v>226</v>
      </c>
      <c r="D135" s="17">
        <v>1.7</v>
      </c>
    </row>
    <row r="136" spans="1:4" x14ac:dyDescent="0.25">
      <c r="A136" s="4" t="s">
        <v>227</v>
      </c>
      <c r="B136" s="14">
        <v>0.67500000000000004</v>
      </c>
      <c r="C136" s="4" t="s">
        <v>227</v>
      </c>
      <c r="D136" s="17">
        <v>1.7</v>
      </c>
    </row>
    <row r="137" spans="1:4" x14ac:dyDescent="0.25">
      <c r="A137" s="4" t="s">
        <v>228</v>
      </c>
      <c r="B137" s="14">
        <v>1.1499999999999999</v>
      </c>
      <c r="C137" s="4" t="s">
        <v>228</v>
      </c>
      <c r="D137" s="17">
        <v>2.68</v>
      </c>
    </row>
    <row r="138" spans="1:4" x14ac:dyDescent="0.25">
      <c r="A138" s="4" t="s">
        <v>229</v>
      </c>
      <c r="B138" s="16">
        <v>1.1499999999999999</v>
      </c>
      <c r="C138" s="4" t="s">
        <v>229</v>
      </c>
      <c r="D138" s="17">
        <v>2.68</v>
      </c>
    </row>
    <row r="139" spans="1:4" x14ac:dyDescent="0.25">
      <c r="A139" s="4" t="s">
        <v>230</v>
      </c>
      <c r="B139" s="16">
        <v>0.42599999999999999</v>
      </c>
      <c r="C139" s="4" t="s">
        <v>230</v>
      </c>
      <c r="D139" s="17">
        <v>1.45</v>
      </c>
    </row>
    <row r="140" spans="1:4" x14ac:dyDescent="0.25">
      <c r="A140" s="4" t="s">
        <v>231</v>
      </c>
      <c r="B140" s="14">
        <v>0.42599999999999999</v>
      </c>
      <c r="C140" s="4" t="s">
        <v>231</v>
      </c>
      <c r="D140" s="17">
        <v>1.45</v>
      </c>
    </row>
    <row r="141" spans="1:4" x14ac:dyDescent="0.25">
      <c r="A141" s="4" t="s">
        <v>232</v>
      </c>
      <c r="B141" s="14">
        <v>0.52</v>
      </c>
      <c r="C141" s="4" t="s">
        <v>232</v>
      </c>
      <c r="D141" s="17">
        <v>1.58</v>
      </c>
    </row>
    <row r="142" spans="1:4" x14ac:dyDescent="0.25">
      <c r="A142" s="4" t="s">
        <v>233</v>
      </c>
      <c r="B142" s="14">
        <v>0.6</v>
      </c>
      <c r="C142" s="4" t="s">
        <v>233</v>
      </c>
      <c r="D142" s="17">
        <v>2.2999999999999998</v>
      </c>
    </row>
    <row r="143" spans="1:4" x14ac:dyDescent="0.25">
      <c r="A143" s="4" t="s">
        <v>234</v>
      </c>
      <c r="B143" s="14">
        <v>0.6</v>
      </c>
      <c r="C143" s="4" t="s">
        <v>234</v>
      </c>
      <c r="D143" s="18">
        <v>2.2999999999999998</v>
      </c>
    </row>
    <row r="144" spans="1:4" x14ac:dyDescent="0.25">
      <c r="A144" s="4" t="s">
        <v>235</v>
      </c>
      <c r="B144" s="14">
        <v>0.48499999999999999</v>
      </c>
      <c r="C144" s="4" t="s">
        <v>235</v>
      </c>
      <c r="D144" s="17">
        <v>1.7</v>
      </c>
    </row>
    <row r="145" spans="1:4" x14ac:dyDescent="0.25">
      <c r="A145" s="4" t="s">
        <v>236</v>
      </c>
      <c r="B145" s="14">
        <v>0.48499999999999999</v>
      </c>
      <c r="C145" s="4" t="s">
        <v>236</v>
      </c>
      <c r="D145" s="17">
        <v>1.7</v>
      </c>
    </row>
    <row r="146" spans="1:4" x14ac:dyDescent="0.25">
      <c r="A146" s="4" t="s">
        <v>237</v>
      </c>
      <c r="B146" s="14">
        <v>0.6</v>
      </c>
      <c r="C146" s="4" t="s">
        <v>237</v>
      </c>
      <c r="D146" s="17">
        <v>1.85</v>
      </c>
    </row>
    <row r="147" spans="1:4" x14ac:dyDescent="0.25">
      <c r="A147" s="4" t="s">
        <v>238</v>
      </c>
      <c r="B147" s="14">
        <v>0.6</v>
      </c>
      <c r="C147" s="4" t="s">
        <v>238</v>
      </c>
      <c r="D147" s="17">
        <v>1.85</v>
      </c>
    </row>
    <row r="148" spans="1:4" x14ac:dyDescent="0.25">
      <c r="A148" s="4" t="s">
        <v>239</v>
      </c>
      <c r="B148" s="14"/>
      <c r="C148" s="4" t="s">
        <v>239</v>
      </c>
      <c r="D148" s="18"/>
    </row>
    <row r="149" spans="1:4" x14ac:dyDescent="0.25">
      <c r="A149" s="4" t="s">
        <v>240</v>
      </c>
      <c r="B149" s="14">
        <v>0.7</v>
      </c>
      <c r="C149" s="4" t="s">
        <v>240</v>
      </c>
      <c r="D149" s="17">
        <v>1.8</v>
      </c>
    </row>
    <row r="150" spans="1:4" x14ac:dyDescent="0.25">
      <c r="A150" s="4" t="s">
        <v>241</v>
      </c>
      <c r="B150" s="14">
        <v>0.7</v>
      </c>
      <c r="C150" s="4" t="s">
        <v>241</v>
      </c>
      <c r="D150" s="17">
        <v>1.8</v>
      </c>
    </row>
    <row r="151" spans="1:4" x14ac:dyDescent="0.25">
      <c r="A151" s="4" t="s">
        <v>242</v>
      </c>
      <c r="B151" s="14">
        <v>1.52</v>
      </c>
      <c r="C151" s="4" t="s">
        <v>242</v>
      </c>
      <c r="D151" s="17">
        <v>4</v>
      </c>
    </row>
    <row r="152" spans="1:4" x14ac:dyDescent="0.25">
      <c r="A152" s="4" t="s">
        <v>243</v>
      </c>
      <c r="B152" s="4">
        <v>1.52</v>
      </c>
      <c r="C152" s="4" t="s">
        <v>243</v>
      </c>
      <c r="D152" s="17">
        <v>4</v>
      </c>
    </row>
    <row r="153" spans="1:4" x14ac:dyDescent="0.25">
      <c r="A153" s="4" t="s">
        <v>244</v>
      </c>
      <c r="B153" s="4">
        <v>1.2</v>
      </c>
      <c r="C153" s="4" t="s">
        <v>244</v>
      </c>
      <c r="D153" s="17">
        <v>2.2000000000000002</v>
      </c>
    </row>
    <row r="154" spans="1:4" x14ac:dyDescent="0.25">
      <c r="A154" s="4" t="s">
        <v>245</v>
      </c>
      <c r="B154" s="4">
        <v>1.2</v>
      </c>
      <c r="C154" s="4" t="s">
        <v>245</v>
      </c>
      <c r="D154" s="17">
        <v>2.2000000000000002</v>
      </c>
    </row>
    <row r="155" spans="1:4" x14ac:dyDescent="0.25">
      <c r="A155" s="4" t="s">
        <v>246</v>
      </c>
      <c r="B155" s="4">
        <v>0.254</v>
      </c>
      <c r="C155" s="4" t="s">
        <v>246</v>
      </c>
      <c r="D155" s="17">
        <v>1.23</v>
      </c>
    </row>
    <row r="156" spans="1:4" x14ac:dyDescent="0.25">
      <c r="A156" s="4" t="s">
        <v>247</v>
      </c>
      <c r="B156" s="4">
        <v>0.254</v>
      </c>
      <c r="C156" s="4" t="s">
        <v>247</v>
      </c>
      <c r="D156" s="17">
        <v>1.23</v>
      </c>
    </row>
    <row r="157" spans="1:4" x14ac:dyDescent="0.25">
      <c r="A157" s="4" t="s">
        <v>248</v>
      </c>
      <c r="B157" s="4">
        <v>0.254</v>
      </c>
      <c r="C157" s="4" t="s">
        <v>248</v>
      </c>
      <c r="D157" s="17">
        <v>1.23</v>
      </c>
    </row>
    <row r="158" spans="1:4" x14ac:dyDescent="0.25">
      <c r="A158" s="4" t="s">
        <v>249</v>
      </c>
      <c r="B158" s="4">
        <v>0.254</v>
      </c>
      <c r="C158" s="4" t="s">
        <v>249</v>
      </c>
      <c r="D158" s="17">
        <v>1.23</v>
      </c>
    </row>
    <row r="159" spans="1:4" x14ac:dyDescent="0.25">
      <c r="A159" s="4" t="s">
        <v>250</v>
      </c>
      <c r="B159" s="4">
        <v>0.254</v>
      </c>
      <c r="C159" s="4" t="s">
        <v>250</v>
      </c>
      <c r="D159" s="17">
        <v>1.23</v>
      </c>
    </row>
    <row r="160" spans="1:4" x14ac:dyDescent="0.25">
      <c r="A160" s="4" t="s">
        <v>251</v>
      </c>
      <c r="B160" s="4">
        <v>0.254</v>
      </c>
      <c r="C160" s="4" t="s">
        <v>251</v>
      </c>
      <c r="D160" s="17">
        <v>1.23</v>
      </c>
    </row>
    <row r="161" spans="1:4" x14ac:dyDescent="0.25">
      <c r="A161" s="4" t="s">
        <v>252</v>
      </c>
      <c r="B161" s="4">
        <v>0.254</v>
      </c>
      <c r="C161" s="4" t="s">
        <v>252</v>
      </c>
      <c r="D161" s="17">
        <v>1.23</v>
      </c>
    </row>
    <row r="162" spans="1:4" x14ac:dyDescent="0.25">
      <c r="A162" s="4" t="s">
        <v>253</v>
      </c>
      <c r="B162" s="4">
        <v>0.254</v>
      </c>
      <c r="C162" s="4" t="s">
        <v>253</v>
      </c>
      <c r="D162" s="17">
        <v>1.23</v>
      </c>
    </row>
    <row r="163" spans="1:4" x14ac:dyDescent="0.25">
      <c r="A163" s="4" t="s">
        <v>254</v>
      </c>
      <c r="B163" s="4">
        <v>0.254</v>
      </c>
      <c r="C163" s="4" t="s">
        <v>254</v>
      </c>
      <c r="D163" s="17">
        <v>1.23</v>
      </c>
    </row>
    <row r="164" spans="1:4" x14ac:dyDescent="0.25">
      <c r="A164" s="4" t="s">
        <v>255</v>
      </c>
      <c r="B164" s="4">
        <v>0.254</v>
      </c>
      <c r="C164" s="4" t="s">
        <v>255</v>
      </c>
      <c r="D164" s="17">
        <v>1.23</v>
      </c>
    </row>
    <row r="165" spans="1:4" x14ac:dyDescent="0.25">
      <c r="A165" s="4" t="s">
        <v>256</v>
      </c>
      <c r="B165" s="4">
        <v>0.38</v>
      </c>
      <c r="C165" s="4" t="s">
        <v>256</v>
      </c>
      <c r="D165" s="17">
        <v>1.25</v>
      </c>
    </row>
    <row r="166" spans="1:4" x14ac:dyDescent="0.25">
      <c r="A166" s="4" t="s">
        <v>257</v>
      </c>
      <c r="B166" s="4">
        <v>0.38</v>
      </c>
      <c r="C166" s="4" t="s">
        <v>257</v>
      </c>
      <c r="D166" s="17">
        <v>1.25</v>
      </c>
    </row>
    <row r="167" spans="1:4" x14ac:dyDescent="0.25">
      <c r="A167" s="4" t="s">
        <v>258</v>
      </c>
      <c r="B167" s="4">
        <v>1.028</v>
      </c>
      <c r="C167" s="4" t="s">
        <v>258</v>
      </c>
      <c r="D167" s="17">
        <v>1.9</v>
      </c>
    </row>
    <row r="168" spans="1:4" x14ac:dyDescent="0.25">
      <c r="A168" s="4" t="s">
        <v>259</v>
      </c>
      <c r="B168" s="4">
        <v>1.028</v>
      </c>
      <c r="C168" s="4" t="s">
        <v>259</v>
      </c>
      <c r="D168" s="17">
        <v>1.9</v>
      </c>
    </row>
    <row r="169" spans="1:4" x14ac:dyDescent="0.25">
      <c r="A169" s="4" t="s">
        <v>260</v>
      </c>
      <c r="B169" s="4">
        <v>1.33</v>
      </c>
      <c r="C169" s="4" t="s">
        <v>260</v>
      </c>
      <c r="D169" s="17">
        <v>2.5</v>
      </c>
    </row>
    <row r="170" spans="1:4" x14ac:dyDescent="0.25">
      <c r="A170" s="4" t="s">
        <v>261</v>
      </c>
      <c r="B170" s="4">
        <v>1.33</v>
      </c>
      <c r="C170" s="4" t="s">
        <v>261</v>
      </c>
      <c r="D170" s="17">
        <v>2.5</v>
      </c>
    </row>
    <row r="171" spans="1:4" x14ac:dyDescent="0.25">
      <c r="A171" s="4" t="s">
        <v>262</v>
      </c>
      <c r="B171" s="4">
        <v>0.48699999999999999</v>
      </c>
      <c r="C171" s="4" t="s">
        <v>262</v>
      </c>
      <c r="D171" s="17"/>
    </row>
    <row r="172" spans="1:4" x14ac:dyDescent="0.25">
      <c r="A172" s="4" t="s">
        <v>263</v>
      </c>
      <c r="B172" s="4">
        <v>0.48699999999999999</v>
      </c>
      <c r="C172" s="4" t="s">
        <v>263</v>
      </c>
      <c r="D172" s="17"/>
    </row>
    <row r="173" spans="1:4" x14ac:dyDescent="0.25">
      <c r="A173" s="4" t="s">
        <v>264</v>
      </c>
      <c r="B173" s="4">
        <v>0.42199999999999999</v>
      </c>
      <c r="C173" s="4" t="s">
        <v>264</v>
      </c>
      <c r="D173" s="17">
        <v>1.2</v>
      </c>
    </row>
    <row r="174" spans="1:4" x14ac:dyDescent="0.25">
      <c r="A174" s="4" t="s">
        <v>265</v>
      </c>
      <c r="B174" s="4">
        <v>0.42199999999999999</v>
      </c>
      <c r="C174" s="4" t="s">
        <v>265</v>
      </c>
      <c r="D174" s="17">
        <v>1.2</v>
      </c>
    </row>
    <row r="175" spans="1:4" x14ac:dyDescent="0.25">
      <c r="A175" s="4" t="s">
        <v>266</v>
      </c>
      <c r="B175" s="4">
        <v>0.57999999999999996</v>
      </c>
      <c r="C175" s="4" t="s">
        <v>266</v>
      </c>
      <c r="D175" s="17">
        <v>1.6</v>
      </c>
    </row>
    <row r="176" spans="1:4" x14ac:dyDescent="0.25">
      <c r="A176" s="4" t="s">
        <v>267</v>
      </c>
      <c r="B176" s="4">
        <v>0.57999999999999996</v>
      </c>
      <c r="C176" s="4" t="s">
        <v>267</v>
      </c>
      <c r="D176" s="17">
        <v>1.6</v>
      </c>
    </row>
    <row r="177" spans="1:4" x14ac:dyDescent="0.25">
      <c r="A177" s="4" t="s">
        <v>268</v>
      </c>
      <c r="B177" s="4">
        <v>0.59099999999999997</v>
      </c>
      <c r="C177" s="4" t="s">
        <v>268</v>
      </c>
      <c r="D177" s="17">
        <v>2.1</v>
      </c>
    </row>
    <row r="178" spans="1:4" x14ac:dyDescent="0.25">
      <c r="A178" s="4" t="s">
        <v>269</v>
      </c>
      <c r="B178" s="4">
        <v>0.59099999999999997</v>
      </c>
      <c r="C178" s="4" t="s">
        <v>269</v>
      </c>
      <c r="D178" s="17">
        <v>2.1</v>
      </c>
    </row>
    <row r="179" spans="1:4" x14ac:dyDescent="0.25">
      <c r="A179" s="4" t="s">
        <v>270</v>
      </c>
      <c r="B179" s="4">
        <v>0.39500000000000002</v>
      </c>
      <c r="C179" s="4" t="s">
        <v>270</v>
      </c>
      <c r="D179" s="17">
        <v>1.4</v>
      </c>
    </row>
    <row r="180" spans="1:4" x14ac:dyDescent="0.25">
      <c r="A180" s="4" t="s">
        <v>271</v>
      </c>
      <c r="B180" s="4">
        <v>0.39500000000000002</v>
      </c>
      <c r="C180" s="4" t="s">
        <v>271</v>
      </c>
      <c r="D180" s="17">
        <v>1.4</v>
      </c>
    </row>
    <row r="181" spans="1:4" x14ac:dyDescent="0.25">
      <c r="A181" s="4" t="s">
        <v>272</v>
      </c>
      <c r="B181" s="4">
        <v>0.30599999999999999</v>
      </c>
      <c r="C181" s="4" t="s">
        <v>272</v>
      </c>
      <c r="D181" s="17"/>
    </row>
    <row r="182" spans="1:4" x14ac:dyDescent="0.25">
      <c r="A182" s="4" t="s">
        <v>273</v>
      </c>
      <c r="B182" s="4">
        <v>0.30599999999999999</v>
      </c>
      <c r="C182" s="4" t="s">
        <v>273</v>
      </c>
      <c r="D182" s="17"/>
    </row>
    <row r="183" spans="1:4" x14ac:dyDescent="0.25">
      <c r="A183" s="4" t="s">
        <v>274</v>
      </c>
      <c r="B183" s="4">
        <v>0.30499999999999999</v>
      </c>
      <c r="C183" s="4" t="s">
        <v>274</v>
      </c>
      <c r="D183" s="17">
        <v>1.19</v>
      </c>
    </row>
    <row r="184" spans="1:4" x14ac:dyDescent="0.25">
      <c r="A184" s="4" t="s">
        <v>275</v>
      </c>
      <c r="B184" s="4">
        <v>0.30499999999999999</v>
      </c>
      <c r="C184" s="4" t="s">
        <v>275</v>
      </c>
      <c r="D184" s="17">
        <v>1.19</v>
      </c>
    </row>
    <row r="185" spans="1:4" x14ac:dyDescent="0.25">
      <c r="A185" s="4" t="s">
        <v>276</v>
      </c>
      <c r="B185" s="4">
        <v>0.52200000000000002</v>
      </c>
      <c r="C185" s="4" t="s">
        <v>276</v>
      </c>
      <c r="D185" s="17">
        <v>1.85</v>
      </c>
    </row>
    <row r="186" spans="1:4" x14ac:dyDescent="0.25">
      <c r="A186" s="4" t="s">
        <v>277</v>
      </c>
      <c r="B186" s="4">
        <v>0.52200000000000002</v>
      </c>
      <c r="C186" s="4" t="s">
        <v>277</v>
      </c>
      <c r="D186" s="17">
        <v>1.85</v>
      </c>
    </row>
    <row r="187" spans="1:4" x14ac:dyDescent="0.25">
      <c r="A187" s="1" t="s">
        <v>355</v>
      </c>
      <c r="B187" s="19">
        <v>0.28000000000000003</v>
      </c>
      <c r="C187" s="1" t="s">
        <v>355</v>
      </c>
      <c r="D187" s="20">
        <v>1.18</v>
      </c>
    </row>
    <row r="188" spans="1:4" x14ac:dyDescent="0.25">
      <c r="A188" s="1" t="s">
        <v>356</v>
      </c>
      <c r="B188" s="19">
        <v>0.11</v>
      </c>
      <c r="C188" s="1" t="s">
        <v>356</v>
      </c>
      <c r="D188" s="20">
        <v>0.54</v>
      </c>
    </row>
    <row r="189" spans="1:4" x14ac:dyDescent="0.25">
      <c r="A189" s="1" t="s">
        <v>357</v>
      </c>
      <c r="C189" s="1" t="s">
        <v>357</v>
      </c>
    </row>
    <row r="190" spans="1:4" x14ac:dyDescent="0.25">
      <c r="A190" s="1" t="s">
        <v>358</v>
      </c>
      <c r="C190" s="1" t="s">
        <v>358</v>
      </c>
    </row>
    <row r="191" spans="1:4" x14ac:dyDescent="0.25">
      <c r="A191" s="1" t="s">
        <v>359</v>
      </c>
      <c r="C191" s="1" t="s">
        <v>359</v>
      </c>
    </row>
    <row r="192" spans="1:4" x14ac:dyDescent="0.25">
      <c r="A192" s="1" t="s">
        <v>360</v>
      </c>
      <c r="C192" s="1" t="s">
        <v>360</v>
      </c>
    </row>
    <row r="193" spans="1:4" x14ac:dyDescent="0.25">
      <c r="A193" s="1" t="s">
        <v>361</v>
      </c>
      <c r="C193" s="1" t="s">
        <v>361</v>
      </c>
    </row>
    <row r="194" spans="1:4" x14ac:dyDescent="0.25">
      <c r="A194" s="1" t="s">
        <v>362</v>
      </c>
      <c r="C194" s="1" t="s">
        <v>362</v>
      </c>
    </row>
    <row r="195" spans="1:4" x14ac:dyDescent="0.25">
      <c r="A195" s="1" t="s">
        <v>588</v>
      </c>
      <c r="C195" s="1" t="s">
        <v>588</v>
      </c>
      <c r="D195" s="20"/>
    </row>
    <row r="196" spans="1:4" x14ac:dyDescent="0.25">
      <c r="A196" s="1" t="s">
        <v>589</v>
      </c>
      <c r="C196" s="1" t="s">
        <v>589</v>
      </c>
      <c r="D196" s="20"/>
    </row>
    <row r="197" spans="1:4" x14ac:dyDescent="0.25">
      <c r="A197" s="1" t="s">
        <v>590</v>
      </c>
      <c r="C197" s="1" t="s">
        <v>590</v>
      </c>
      <c r="D197" s="20"/>
    </row>
    <row r="198" spans="1:4" x14ac:dyDescent="0.25">
      <c r="A198" s="1" t="s">
        <v>591</v>
      </c>
      <c r="C198" s="1" t="s">
        <v>591</v>
      </c>
      <c r="D198" s="20"/>
    </row>
    <row r="199" spans="1:4" x14ac:dyDescent="0.25">
      <c r="A199" s="1" t="s">
        <v>592</v>
      </c>
      <c r="C199" s="1" t="s">
        <v>592</v>
      </c>
      <c r="D199" s="20"/>
    </row>
    <row r="200" spans="1:4" x14ac:dyDescent="0.25">
      <c r="A200" s="1" t="s">
        <v>593</v>
      </c>
      <c r="C200" s="1" t="s">
        <v>593</v>
      </c>
      <c r="D200" s="20"/>
    </row>
    <row r="201" spans="1:4" x14ac:dyDescent="0.25">
      <c r="A201" s="1" t="s">
        <v>594</v>
      </c>
      <c r="C201" s="1" t="s">
        <v>594</v>
      </c>
      <c r="D201" s="20"/>
    </row>
    <row r="202" spans="1:4" x14ac:dyDescent="0.25">
      <c r="A202" s="1" t="s">
        <v>595</v>
      </c>
      <c r="C202" s="1" t="s">
        <v>595</v>
      </c>
      <c r="D202" s="20"/>
    </row>
    <row r="203" spans="1:4" x14ac:dyDescent="0.25">
      <c r="A203" s="1" t="s">
        <v>596</v>
      </c>
      <c r="C203" s="1" t="s">
        <v>596</v>
      </c>
      <c r="D203" s="20"/>
    </row>
    <row r="204" spans="1:4" x14ac:dyDescent="0.25">
      <c r="A204" s="1" t="s">
        <v>597</v>
      </c>
      <c r="C204" s="1" t="s">
        <v>597</v>
      </c>
      <c r="D204" s="20"/>
    </row>
    <row r="205" spans="1:4" x14ac:dyDescent="0.25">
      <c r="A205" s="1" t="s">
        <v>598</v>
      </c>
      <c r="C205" s="1" t="s">
        <v>598</v>
      </c>
      <c r="D205" s="20"/>
    </row>
    <row r="206" spans="1:4" x14ac:dyDescent="0.25">
      <c r="A206" s="1" t="s">
        <v>599</v>
      </c>
      <c r="C206" s="1" t="s">
        <v>599</v>
      </c>
      <c r="D206" s="20"/>
    </row>
    <row r="207" spans="1:4" x14ac:dyDescent="0.25">
      <c r="A207" s="1" t="s">
        <v>600</v>
      </c>
      <c r="C207" s="1" t="s">
        <v>600</v>
      </c>
      <c r="D207" s="20"/>
    </row>
    <row r="208" spans="1:4" x14ac:dyDescent="0.25">
      <c r="A208" s="1" t="s">
        <v>601</v>
      </c>
      <c r="C208" s="1" t="s">
        <v>601</v>
      </c>
      <c r="D208" s="20"/>
    </row>
    <row r="209" spans="1:4" x14ac:dyDescent="0.25">
      <c r="A209" s="1" t="s">
        <v>602</v>
      </c>
      <c r="C209" s="1" t="s">
        <v>602</v>
      </c>
      <c r="D209" s="20"/>
    </row>
    <row r="210" spans="1:4" x14ac:dyDescent="0.25">
      <c r="A210" s="1" t="s">
        <v>603</v>
      </c>
      <c r="C210" s="1" t="s">
        <v>603</v>
      </c>
      <c r="D210" s="20"/>
    </row>
    <row r="211" spans="1:4" x14ac:dyDescent="0.25">
      <c r="A211" s="1" t="s">
        <v>604</v>
      </c>
      <c r="C211" s="1" t="s">
        <v>604</v>
      </c>
      <c r="D211" s="20"/>
    </row>
    <row r="212" spans="1:4" x14ac:dyDescent="0.25">
      <c r="A212" s="1" t="s">
        <v>605</v>
      </c>
      <c r="C212" s="1" t="s">
        <v>605</v>
      </c>
      <c r="D212" s="20"/>
    </row>
    <row r="213" spans="1:4" x14ac:dyDescent="0.25">
      <c r="A213" s="1" t="s">
        <v>606</v>
      </c>
      <c r="C213" s="1" t="s">
        <v>606</v>
      </c>
      <c r="D213" s="20"/>
    </row>
    <row r="214" spans="1:4" x14ac:dyDescent="0.25">
      <c r="A214" s="1" t="s">
        <v>607</v>
      </c>
      <c r="C214" s="1" t="s">
        <v>607</v>
      </c>
      <c r="D214" s="20"/>
    </row>
    <row r="215" spans="1:4" x14ac:dyDescent="0.25">
      <c r="A215" s="1" t="s">
        <v>608</v>
      </c>
      <c r="C215" s="1" t="s">
        <v>608</v>
      </c>
      <c r="D215" s="20"/>
    </row>
    <row r="216" spans="1:4" x14ac:dyDescent="0.25">
      <c r="A216" s="1" t="s">
        <v>609</v>
      </c>
      <c r="C216" s="1" t="s">
        <v>609</v>
      </c>
      <c r="D216" s="20"/>
    </row>
    <row r="217" spans="1:4" x14ac:dyDescent="0.25">
      <c r="A217" s="1" t="s">
        <v>610</v>
      </c>
      <c r="C217" s="1" t="s">
        <v>610</v>
      </c>
      <c r="D217" s="20"/>
    </row>
    <row r="218" spans="1:4" x14ac:dyDescent="0.25">
      <c r="A218" s="1" t="s">
        <v>611</v>
      </c>
      <c r="C218" s="1" t="s">
        <v>611</v>
      </c>
      <c r="D218" s="20"/>
    </row>
    <row r="219" spans="1:4" x14ac:dyDescent="0.25">
      <c r="A219" s="1" t="s">
        <v>612</v>
      </c>
      <c r="C219" s="1" t="s">
        <v>612</v>
      </c>
      <c r="D219" s="20"/>
    </row>
    <row r="220" spans="1:4" x14ac:dyDescent="0.25">
      <c r="A220" s="1" t="s">
        <v>613</v>
      </c>
      <c r="C220" s="1" t="s">
        <v>613</v>
      </c>
      <c r="D220" s="20"/>
    </row>
    <row r="221" spans="1:4" x14ac:dyDescent="0.25">
      <c r="A221" s="1" t="s">
        <v>614</v>
      </c>
      <c r="C221" s="1" t="s">
        <v>614</v>
      </c>
      <c r="D221" s="20"/>
    </row>
    <row r="222" spans="1:4" x14ac:dyDescent="0.25">
      <c r="A222" s="1" t="s">
        <v>615</v>
      </c>
      <c r="C222" s="1" t="s">
        <v>615</v>
      </c>
      <c r="D222" s="20"/>
    </row>
    <row r="223" spans="1:4" x14ac:dyDescent="0.25">
      <c r="A223" s="1" t="s">
        <v>616</v>
      </c>
      <c r="C223" s="1" t="s">
        <v>616</v>
      </c>
      <c r="D223" s="20"/>
    </row>
    <row r="224" spans="1:4" x14ac:dyDescent="0.25">
      <c r="A224" s="1" t="s">
        <v>617</v>
      </c>
      <c r="C224" s="1" t="s">
        <v>617</v>
      </c>
      <c r="D224" s="20">
        <v>0.27</v>
      </c>
    </row>
    <row r="225" spans="1:4" x14ac:dyDescent="0.25">
      <c r="A225" s="1" t="s">
        <v>618</v>
      </c>
      <c r="C225" s="1" t="s">
        <v>618</v>
      </c>
      <c r="D225" s="20">
        <v>0.28999999999999998</v>
      </c>
    </row>
    <row r="226" spans="1:4" x14ac:dyDescent="0.25">
      <c r="A226" s="1" t="s">
        <v>619</v>
      </c>
      <c r="C226" s="1" t="s">
        <v>619</v>
      </c>
      <c r="D226" s="20">
        <v>0.44</v>
      </c>
    </row>
    <row r="227" spans="1:4" x14ac:dyDescent="0.25">
      <c r="A227" s="1" t="s">
        <v>620</v>
      </c>
      <c r="C227" s="1" t="s">
        <v>620</v>
      </c>
      <c r="D227" s="20">
        <v>0.51</v>
      </c>
    </row>
    <row r="228" spans="1:4" x14ac:dyDescent="0.25">
      <c r="A228" s="1" t="s">
        <v>621</v>
      </c>
      <c r="C228" s="1" t="s">
        <v>621</v>
      </c>
      <c r="D228" s="20">
        <v>0.59</v>
      </c>
    </row>
    <row r="229" spans="1:4" x14ac:dyDescent="0.25">
      <c r="A229" s="1" t="s">
        <v>622</v>
      </c>
      <c r="C229" s="1" t="s">
        <v>622</v>
      </c>
      <c r="D229" s="20">
        <v>0.68</v>
      </c>
    </row>
    <row r="230" spans="1:4" x14ac:dyDescent="0.25">
      <c r="A230" s="1" t="s">
        <v>623</v>
      </c>
      <c r="C230" s="1" t="s">
        <v>623</v>
      </c>
      <c r="D230" s="20">
        <v>0.93</v>
      </c>
    </row>
    <row r="231" spans="1:4" x14ac:dyDescent="0.25">
      <c r="A231" s="1" t="s">
        <v>624</v>
      </c>
      <c r="C231" s="1" t="s">
        <v>624</v>
      </c>
      <c r="D231" s="20">
        <v>1</v>
      </c>
    </row>
    <row r="232" spans="1:4" x14ac:dyDescent="0.25">
      <c r="A232" s="1" t="s">
        <v>625</v>
      </c>
      <c r="C232" s="1" t="s">
        <v>625</v>
      </c>
      <c r="D232" s="20">
        <v>1.1499999999999999</v>
      </c>
    </row>
    <row r="233" spans="1:4" x14ac:dyDescent="0.25">
      <c r="A233" s="1" t="s">
        <v>626</v>
      </c>
      <c r="C233" s="1" t="s">
        <v>626</v>
      </c>
      <c r="D233" s="20">
        <v>1.34</v>
      </c>
    </row>
    <row r="234" spans="1:4" x14ac:dyDescent="0.25">
      <c r="A234" s="1" t="s">
        <v>627</v>
      </c>
      <c r="C234" s="1" t="s">
        <v>627</v>
      </c>
      <c r="D234" s="20">
        <v>1.52</v>
      </c>
    </row>
    <row r="235" spans="1:4" x14ac:dyDescent="0.25">
      <c r="A235" s="1" t="s">
        <v>628</v>
      </c>
      <c r="C235" s="1" t="s">
        <v>628</v>
      </c>
      <c r="D235" s="20">
        <v>1.69</v>
      </c>
    </row>
    <row r="236" spans="1:4" x14ac:dyDescent="0.25">
      <c r="A236" s="1" t="s">
        <v>629</v>
      </c>
      <c r="C236" s="1" t="s">
        <v>629</v>
      </c>
      <c r="D236" s="20">
        <v>2.54</v>
      </c>
    </row>
    <row r="237" spans="1:4" x14ac:dyDescent="0.25">
      <c r="A237" s="1" t="s">
        <v>630</v>
      </c>
      <c r="C237" s="1" t="s">
        <v>630</v>
      </c>
      <c r="D237" s="20">
        <v>2.74</v>
      </c>
    </row>
    <row r="238" spans="1:4" x14ac:dyDescent="0.25">
      <c r="A238" s="1" t="s">
        <v>631</v>
      </c>
      <c r="C238" s="1" t="s">
        <v>631</v>
      </c>
      <c r="D238" s="20">
        <v>2.96</v>
      </c>
    </row>
    <row r="239" spans="1:4" x14ac:dyDescent="0.25">
      <c r="A239" s="1" t="s">
        <v>632</v>
      </c>
      <c r="C239" s="1" t="s">
        <v>632</v>
      </c>
      <c r="D239" s="20">
        <v>3.19</v>
      </c>
    </row>
    <row r="240" spans="1:4" x14ac:dyDescent="0.25">
      <c r="A240" s="1" t="s">
        <v>633</v>
      </c>
      <c r="C240" s="1" t="s">
        <v>633</v>
      </c>
      <c r="D240" s="20">
        <v>0.03</v>
      </c>
    </row>
    <row r="241" spans="1:4" x14ac:dyDescent="0.25">
      <c r="A241" s="1" t="s">
        <v>634</v>
      </c>
      <c r="C241" s="1" t="s">
        <v>634</v>
      </c>
      <c r="D241" s="20">
        <v>0.03</v>
      </c>
    </row>
    <row r="242" spans="1:4" x14ac:dyDescent="0.25">
      <c r="A242" s="1" t="s">
        <v>635</v>
      </c>
      <c r="C242" s="1" t="s">
        <v>635</v>
      </c>
      <c r="D242" s="20">
        <v>0.03</v>
      </c>
    </row>
    <row r="243" spans="1:4" x14ac:dyDescent="0.25">
      <c r="A243" s="1" t="s">
        <v>636</v>
      </c>
      <c r="C243" s="1" t="s">
        <v>636</v>
      </c>
      <c r="D243" s="20">
        <v>0.03</v>
      </c>
    </row>
    <row r="244" spans="1:4" x14ac:dyDescent="0.25">
      <c r="A244" s="1" t="s">
        <v>637</v>
      </c>
      <c r="C244" s="1" t="s">
        <v>637</v>
      </c>
      <c r="D244" s="20">
        <v>0.03</v>
      </c>
    </row>
    <row r="245" spans="1:4" x14ac:dyDescent="0.25">
      <c r="A245" s="1" t="s">
        <v>638</v>
      </c>
      <c r="C245" s="1" t="s">
        <v>638</v>
      </c>
      <c r="D245" s="20">
        <v>0.02</v>
      </c>
    </row>
    <row r="246" spans="1:4" x14ac:dyDescent="0.25">
      <c r="A246" s="1" t="s">
        <v>639</v>
      </c>
      <c r="C246" s="1" t="s">
        <v>639</v>
      </c>
      <c r="D246" s="20">
        <v>0.03</v>
      </c>
    </row>
    <row r="247" spans="1:4" x14ac:dyDescent="0.25">
      <c r="A247" s="1" t="s">
        <v>640</v>
      </c>
      <c r="C247" s="1" t="s">
        <v>640</v>
      </c>
      <c r="D247" s="20">
        <v>0.03</v>
      </c>
    </row>
    <row r="248" spans="1:4" x14ac:dyDescent="0.25">
      <c r="A248" s="1" t="s">
        <v>641</v>
      </c>
      <c r="C248" s="1" t="s">
        <v>641</v>
      </c>
      <c r="D248" s="20">
        <v>0.04</v>
      </c>
    </row>
    <row r="249" spans="1:4" x14ac:dyDescent="0.25">
      <c r="A249" s="1" t="s">
        <v>642</v>
      </c>
      <c r="C249" s="1" t="s">
        <v>642</v>
      </c>
      <c r="D249" s="20">
        <v>0.04</v>
      </c>
    </row>
    <row r="250" spans="1:4" x14ac:dyDescent="0.25">
      <c r="A250" s="1" t="s">
        <v>643</v>
      </c>
      <c r="C250" s="1" t="s">
        <v>643</v>
      </c>
      <c r="D250" s="20">
        <v>0.05</v>
      </c>
    </row>
    <row r="251" spans="1:4" x14ac:dyDescent="0.25">
      <c r="A251" s="1" t="s">
        <v>644</v>
      </c>
      <c r="C251" s="1" t="s">
        <v>644</v>
      </c>
      <c r="D251" s="20">
        <v>7.0000000000000007E-2</v>
      </c>
    </row>
    <row r="252" spans="1:4" x14ac:dyDescent="0.25">
      <c r="A252" s="1" t="s">
        <v>645</v>
      </c>
      <c r="C252" s="1" t="s">
        <v>645</v>
      </c>
      <c r="D252" s="20">
        <v>7.0000000000000007E-2</v>
      </c>
    </row>
    <row r="253" spans="1:4" x14ac:dyDescent="0.25">
      <c r="A253" s="1" t="s">
        <v>646</v>
      </c>
      <c r="C253" s="1" t="s">
        <v>646</v>
      </c>
      <c r="D253" s="20">
        <v>0.08</v>
      </c>
    </row>
    <row r="254" spans="1:4" x14ac:dyDescent="0.25">
      <c r="A254" s="1" t="s">
        <v>647</v>
      </c>
      <c r="C254" s="1" t="s">
        <v>647</v>
      </c>
      <c r="D254" s="20">
        <v>0.09</v>
      </c>
    </row>
    <row r="255" spans="1:4" x14ac:dyDescent="0.25">
      <c r="A255" s="1" t="s">
        <v>648</v>
      </c>
      <c r="C255" s="1" t="s">
        <v>648</v>
      </c>
      <c r="D255" s="20">
        <v>0.11</v>
      </c>
    </row>
    <row r="256" spans="1:4" x14ac:dyDescent="0.25">
      <c r="A256" s="1" t="s">
        <v>649</v>
      </c>
      <c r="C256" s="1" t="s">
        <v>649</v>
      </c>
      <c r="D256" s="20">
        <v>0.17</v>
      </c>
    </row>
    <row r="257" spans="1:4" x14ac:dyDescent="0.25">
      <c r="A257" s="1" t="s">
        <v>650</v>
      </c>
      <c r="C257" s="1" t="s">
        <v>650</v>
      </c>
      <c r="D257" s="20">
        <v>0.19</v>
      </c>
    </row>
    <row r="258" spans="1:4" x14ac:dyDescent="0.25">
      <c r="A258" s="1" t="s">
        <v>651</v>
      </c>
      <c r="C258" s="1" t="s">
        <v>651</v>
      </c>
      <c r="D258" s="20">
        <v>0.23</v>
      </c>
    </row>
    <row r="259" spans="1:4" x14ac:dyDescent="0.25">
      <c r="A259" s="1" t="s">
        <v>652</v>
      </c>
      <c r="C259" s="1" t="s">
        <v>652</v>
      </c>
      <c r="D259" s="20">
        <v>0.24</v>
      </c>
    </row>
    <row r="260" spans="1:4" x14ac:dyDescent="0.25">
      <c r="A260" s="1" t="s">
        <v>653</v>
      </c>
      <c r="C260" s="1" t="s">
        <v>653</v>
      </c>
      <c r="D260" s="20">
        <v>0.26</v>
      </c>
    </row>
    <row r="261" spans="1:4" x14ac:dyDescent="0.25">
      <c r="A261" s="1" t="s">
        <v>654</v>
      </c>
      <c r="C261" s="1" t="s">
        <v>654</v>
      </c>
      <c r="D261" s="20">
        <v>0.3</v>
      </c>
    </row>
    <row r="262" spans="1:4" x14ac:dyDescent="0.25">
      <c r="A262" s="1" t="s">
        <v>655</v>
      </c>
      <c r="C262" s="1" t="s">
        <v>655</v>
      </c>
      <c r="D262" s="20">
        <v>0.33</v>
      </c>
    </row>
    <row r="263" spans="1:4" x14ac:dyDescent="0.25">
      <c r="A263" s="1" t="s">
        <v>656</v>
      </c>
      <c r="C263" s="1" t="s">
        <v>656</v>
      </c>
      <c r="D263" s="20">
        <v>0.34</v>
      </c>
    </row>
    <row r="264" spans="1:4" x14ac:dyDescent="0.25">
      <c r="A264" s="1" t="s">
        <v>657</v>
      </c>
      <c r="C264" s="1" t="s">
        <v>657</v>
      </c>
      <c r="D264" s="20">
        <v>0.42</v>
      </c>
    </row>
    <row r="265" spans="1:4" x14ac:dyDescent="0.25">
      <c r="A265" s="1" t="s">
        <v>658</v>
      </c>
      <c r="C265" s="1" t="s">
        <v>658</v>
      </c>
      <c r="D265" s="21">
        <v>0.47</v>
      </c>
    </row>
    <row r="266" spans="1:4" x14ac:dyDescent="0.25">
      <c r="A266" s="1" t="s">
        <v>659</v>
      </c>
      <c r="C266" s="1" t="s">
        <v>659</v>
      </c>
      <c r="D266" s="20">
        <v>0.52</v>
      </c>
    </row>
    <row r="267" spans="1:4" x14ac:dyDescent="0.25">
      <c r="A267" s="1" t="s">
        <v>660</v>
      </c>
      <c r="C267" s="1" t="s">
        <v>660</v>
      </c>
      <c r="D267" s="21">
        <v>0.57999999999999996</v>
      </c>
    </row>
    <row r="268" spans="1:4" x14ac:dyDescent="0.25">
      <c r="A268" s="1" t="s">
        <v>661</v>
      </c>
      <c r="C268" s="1" t="s">
        <v>661</v>
      </c>
      <c r="D268" s="21">
        <v>0.62</v>
      </c>
    </row>
    <row r="269" spans="1:4" x14ac:dyDescent="0.25">
      <c r="A269" s="1" t="s">
        <v>662</v>
      </c>
      <c r="C269" s="1" t="s">
        <v>662</v>
      </c>
      <c r="D269" s="21">
        <v>0.7</v>
      </c>
    </row>
    <row r="270" spans="1:4" x14ac:dyDescent="0.25">
      <c r="A270" s="1" t="s">
        <v>663</v>
      </c>
      <c r="C270" s="1" t="s">
        <v>663</v>
      </c>
      <c r="D270" s="21">
        <v>0.72</v>
      </c>
    </row>
    <row r="271" spans="1:4" x14ac:dyDescent="0.25">
      <c r="A271" s="1" t="s">
        <v>664</v>
      </c>
      <c r="C271" s="1" t="s">
        <v>664</v>
      </c>
      <c r="D27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Template</vt:lpstr>
      <vt:lpstr>Sayfa2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 TICARET</cp:lastModifiedBy>
  <dcterms:modified xsi:type="dcterms:W3CDTF">2026-01-21T10:20:10Z</dcterms:modified>
</cp:coreProperties>
</file>