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12" i="1"/>
  <c r="H70" i="1" l="1"/>
  <c r="H69" i="1"/>
  <c r="H68" i="1"/>
  <c r="H67" i="1"/>
  <c r="H66" i="1"/>
  <c r="H65" i="1"/>
  <c r="H64" i="1"/>
  <c r="H63" i="1"/>
  <c r="H77" i="1"/>
  <c r="H74" i="1"/>
  <c r="H73" i="1"/>
  <c r="H72" i="1"/>
  <c r="H43" i="1"/>
  <c r="H44" i="1"/>
  <c r="F79" i="1"/>
  <c r="H78" i="1"/>
  <c r="H76" i="1"/>
  <c r="H75" i="1"/>
  <c r="H71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6" i="1"/>
  <c r="H15" i="1"/>
  <c r="H17" i="1"/>
  <c r="H14" i="1"/>
  <c r="H13" i="1"/>
  <c r="H12" i="1"/>
  <c r="H79" i="1" l="1"/>
</calcChain>
</file>

<file path=xl/sharedStrings.xml><?xml version="1.0" encoding="utf-8"?>
<sst xmlns="http://schemas.openxmlformats.org/spreadsheetml/2006/main" count="298" uniqueCount="158">
  <si>
    <t>JIANGXI KAIXU AUTOMOBILE FITTING CO.,LTD</t>
    <phoneticPr fontId="1" type="noConversion"/>
  </si>
  <si>
    <t xml:space="preserve">ADD:Yihuang Industry Zone B, Yihuang county,  Fuzhou city , Jiangxi  Province ,China  </t>
    <phoneticPr fontId="1" type="noConversion"/>
  </si>
  <si>
    <t xml:space="preserve">TEL:0086-794-7710888   </t>
    <phoneticPr fontId="1" type="noConversion"/>
  </si>
  <si>
    <t>PROFORMA  INVOICE</t>
    <phoneticPr fontId="1" type="noConversion"/>
  </si>
  <si>
    <t>TO:</t>
  </si>
  <si>
    <t>OTOBASAR SAN.VE TIC. LTD. STI.</t>
    <phoneticPr fontId="1" type="noConversion"/>
  </si>
  <si>
    <t>ADD:</t>
  </si>
  <si>
    <t>F. CAKMAK MAH. SILA CAD.</t>
    <phoneticPr fontId="1" type="noConversion"/>
  </si>
  <si>
    <t>ELIT SANAYI SITESI B BLOK NO:48/M</t>
    <phoneticPr fontId="1" type="noConversion"/>
  </si>
  <si>
    <t>KARATAY KONYA-TURKEY</t>
    <phoneticPr fontId="1" type="noConversion"/>
  </si>
  <si>
    <t>TEL:</t>
  </si>
  <si>
    <t>903323453303  FAX:0090 332 345 0724</t>
    <phoneticPr fontId="1" type="noConversion"/>
  </si>
  <si>
    <t>NO.</t>
  </si>
  <si>
    <t>PART NAME</t>
  </si>
  <si>
    <t>Standard</t>
  </si>
  <si>
    <t>material and finish</t>
  </si>
  <si>
    <t>Size</t>
  </si>
  <si>
    <t>Qty (pcs)</t>
  </si>
  <si>
    <t>FOB Ningbo  Price
(USD/1000pcs)</t>
  </si>
  <si>
    <t>Amount
(USD)</t>
  </si>
  <si>
    <t>Snap rings</t>
  </si>
  <si>
    <t>DIN471</t>
  </si>
  <si>
    <t>65Mn Black</t>
  </si>
  <si>
    <t>40*3</t>
  </si>
  <si>
    <t>55*2.0</t>
  </si>
  <si>
    <t>100*3.0</t>
  </si>
  <si>
    <t>DIN472</t>
  </si>
  <si>
    <t>80*2.5</t>
  </si>
  <si>
    <t>45*1.75</t>
    <phoneticPr fontId="1" type="noConversion"/>
  </si>
  <si>
    <t>17*1.0</t>
    <phoneticPr fontId="1" type="noConversion"/>
  </si>
  <si>
    <t>110*4.0</t>
    <phoneticPr fontId="1" type="noConversion"/>
  </si>
  <si>
    <t>165*4.0</t>
    <phoneticPr fontId="1" type="noConversion"/>
  </si>
  <si>
    <t>80*2.5</t>
    <phoneticPr fontId="1" type="noConversion"/>
  </si>
  <si>
    <t>90*3.0</t>
    <phoneticPr fontId="1" type="noConversion"/>
  </si>
  <si>
    <t>DIN471</t>
    <phoneticPr fontId="1" type="noConversion"/>
  </si>
  <si>
    <t>SS420 Plain</t>
    <phoneticPr fontId="1" type="noConversion"/>
  </si>
  <si>
    <t>TOTAL:</t>
  </si>
  <si>
    <t>Remarks:</t>
  </si>
  <si>
    <t>DELIVERY TERMS FOB NINGBO,CHINA BY VESSEL</t>
  </si>
  <si>
    <t>(AS PER INCOTERMS 2010 OF ICC PARTS)</t>
  </si>
  <si>
    <t>DOWN PAYMENT</t>
  </si>
  <si>
    <t xml:space="preserve">Beneficiary Bank:Industrial &amp; Commercial Bank Of China Yihuang Fuzhou county Branch </t>
  </si>
  <si>
    <t xml:space="preserve">SWIFT                  :ICBKCNBJJSI </t>
  </si>
  <si>
    <t>BENEFICIARY   :JIANGXI KAIXU AUTOMOBILE FITTING CO.,LTD</t>
  </si>
  <si>
    <t>A/C NO.               : 1511205019200099208</t>
  </si>
  <si>
    <t xml:space="preserve">ADD                     : No. 66 Xueqian Street, Yihuang county, Fuzhou city, Jiangxi province. </t>
  </si>
  <si>
    <t xml:space="preserve">TEL/FAX             :+86-794-7710888 </t>
  </si>
  <si>
    <t>Buyer Signature:</t>
  </si>
  <si>
    <t>Seller Signature:</t>
  </si>
  <si>
    <t>15*1.0</t>
    <phoneticPr fontId="1" type="noConversion"/>
  </si>
  <si>
    <t>20*1.0</t>
    <phoneticPr fontId="1" type="noConversion"/>
  </si>
  <si>
    <t>23*1.2</t>
    <phoneticPr fontId="1" type="noConversion"/>
  </si>
  <si>
    <t>28*1.2</t>
    <phoneticPr fontId="1" type="noConversion"/>
  </si>
  <si>
    <t>36*1.5</t>
    <phoneticPr fontId="1" type="noConversion"/>
  </si>
  <si>
    <t>48*1.75</t>
    <phoneticPr fontId="1" type="noConversion"/>
  </si>
  <si>
    <t>55*2</t>
    <phoneticPr fontId="1" type="noConversion"/>
  </si>
  <si>
    <t>60*2</t>
    <phoneticPr fontId="1" type="noConversion"/>
  </si>
  <si>
    <t>65*2.5</t>
    <phoneticPr fontId="1" type="noConversion"/>
  </si>
  <si>
    <t>67*2.5</t>
    <phoneticPr fontId="1" type="noConversion"/>
  </si>
  <si>
    <t>68*2.5</t>
    <phoneticPr fontId="1" type="noConversion"/>
  </si>
  <si>
    <t>72*2.5</t>
    <phoneticPr fontId="1" type="noConversion"/>
  </si>
  <si>
    <t>INVOICE NO.:OB20250902</t>
    <phoneticPr fontId="1" type="noConversion"/>
  </si>
  <si>
    <t>DATE:September 2nd, 2025</t>
    <phoneticPr fontId="1" type="noConversion"/>
  </si>
  <si>
    <t>AS PER PROFORMA INVOICE NO:OB20250902 DD. 20250902</t>
    <phoneticPr fontId="1" type="noConversion"/>
  </si>
  <si>
    <t>120*4</t>
    <phoneticPr fontId="1" type="noConversion"/>
  </si>
  <si>
    <t>35*2,5</t>
    <phoneticPr fontId="1" type="noConversion"/>
  </si>
  <si>
    <t>40*1.75</t>
    <phoneticPr fontId="1" type="noConversion"/>
  </si>
  <si>
    <t>42*1.75</t>
    <phoneticPr fontId="1" type="noConversion"/>
  </si>
  <si>
    <t>70*2.50</t>
    <phoneticPr fontId="1" type="noConversion"/>
  </si>
  <si>
    <t>190*4.0</t>
    <phoneticPr fontId="1" type="noConversion"/>
  </si>
  <si>
    <t>DIN6799</t>
    <phoneticPr fontId="1" type="noConversion"/>
  </si>
  <si>
    <t>25*1.2</t>
    <phoneticPr fontId="1" type="noConversion"/>
  </si>
  <si>
    <t>32*1.2</t>
    <phoneticPr fontId="1" type="noConversion"/>
  </si>
  <si>
    <t>38*1.5</t>
    <phoneticPr fontId="1" type="noConversion"/>
  </si>
  <si>
    <t>46*1.75</t>
    <phoneticPr fontId="1" type="noConversion"/>
  </si>
  <si>
    <t>52*2</t>
    <phoneticPr fontId="1" type="noConversion"/>
  </si>
  <si>
    <t>75*2.5</t>
    <phoneticPr fontId="1" type="noConversion"/>
  </si>
  <si>
    <t>95*3.0</t>
    <phoneticPr fontId="1" type="noConversion"/>
  </si>
  <si>
    <t>105*4.0</t>
    <phoneticPr fontId="1" type="noConversion"/>
  </si>
  <si>
    <t>112*4.0</t>
    <phoneticPr fontId="1" type="noConversion"/>
  </si>
  <si>
    <t>230*5.0</t>
    <phoneticPr fontId="1" type="noConversion"/>
  </si>
  <si>
    <t>6799/02,3</t>
    <phoneticPr fontId="1" type="noConversion"/>
  </si>
  <si>
    <t>6799/06</t>
    <phoneticPr fontId="1" type="noConversion"/>
  </si>
  <si>
    <t>6799/08</t>
    <phoneticPr fontId="1" type="noConversion"/>
  </si>
  <si>
    <t>Snap rings</t>
    <phoneticPr fontId="1" type="noConversion"/>
  </si>
  <si>
    <t>19*1.2</t>
    <phoneticPr fontId="1" type="noConversion"/>
  </si>
  <si>
    <t>125*4</t>
    <phoneticPr fontId="1" type="noConversion"/>
  </si>
  <si>
    <t>27*1.2</t>
    <phoneticPr fontId="1" type="noConversion"/>
  </si>
  <si>
    <t>40*2.5</t>
    <phoneticPr fontId="1" type="noConversion"/>
  </si>
  <si>
    <t>12*1</t>
    <phoneticPr fontId="1" type="noConversion"/>
  </si>
  <si>
    <t>15*1</t>
    <phoneticPr fontId="1" type="noConversion"/>
  </si>
  <si>
    <t>32*1.5</t>
    <phoneticPr fontId="1" type="noConversion"/>
  </si>
  <si>
    <t>70*2.5</t>
    <phoneticPr fontId="1" type="noConversion"/>
  </si>
  <si>
    <t>6799/04</t>
    <phoneticPr fontId="1" type="noConversion"/>
  </si>
  <si>
    <t>Total Amount(USD):23404.15</t>
    <phoneticPr fontId="1" type="noConversion"/>
  </si>
  <si>
    <t>RXO-NSR-471-42-1.75-KX</t>
  </si>
  <si>
    <t>RXO-SSSR-471-20-1.2-KX</t>
  </si>
  <si>
    <t>RXO-SSSR-471-22-1.2-KX</t>
  </si>
  <si>
    <t>RXO-SSSR-471-25-1.2-KX</t>
  </si>
  <si>
    <t>RXO-SSSR-471-42-1.75-KX</t>
  </si>
  <si>
    <t>RXO-SSSR-471-52-2.0-KX</t>
  </si>
  <si>
    <t>RXO-SSSR-471-58-2.0-KX</t>
  </si>
  <si>
    <t>RXO-SSSR-471-63-2.0-KX</t>
  </si>
  <si>
    <t>RXO-SSSR-471-67-2.50-KX</t>
  </si>
  <si>
    <t>RXO-NSR-471-40-3-KX</t>
  </si>
  <si>
    <t>RXO-NSR-471-55-2.0-KX</t>
  </si>
  <si>
    <t>RXO-NSR-471-100-3.0-KX</t>
  </si>
  <si>
    <t>RXO-NSR-471-110-4.0-KX</t>
  </si>
  <si>
    <t>RXO-NSR-471-165-4.0-KX</t>
  </si>
  <si>
    <t>RXO-NSR-472-80-2.5-KX</t>
  </si>
  <si>
    <t>RXO-NSR-472-90-3.0-KX</t>
  </si>
  <si>
    <t>RXO-SSSR-472-15-1.0-KX</t>
  </si>
  <si>
    <t>RXO-SSSR-472-17-1.0-KX</t>
  </si>
  <si>
    <t>RXO-SSSR-472-20-1.0-KX</t>
  </si>
  <si>
    <t>RXO-SSSR-472-23-1.2-KX</t>
  </si>
  <si>
    <t>RXO-SSSR-472-28-1.2-KX</t>
  </si>
  <si>
    <t>RXO-SSSR-472-36-1.5-KX</t>
  </si>
  <si>
    <t>RXO-SSSR-472-45-1.75-KX</t>
  </si>
  <si>
    <t>RXO-SSSR-472-48-1.75-KX</t>
  </si>
  <si>
    <t>RXO-SSSR-472-55-2-KX</t>
  </si>
  <si>
    <t>RXO-SSSR-472-60-2-KX</t>
  </si>
  <si>
    <t>RXO-SSSR-472-65-2.5-KX</t>
  </si>
  <si>
    <t>RXO-SSSR-472-67-2.5-KX</t>
  </si>
  <si>
    <t>RXO-SSSR-472-68-2.5-KX</t>
  </si>
  <si>
    <t>RXO-SSSR-472-72-2.5-KX</t>
  </si>
  <si>
    <t>RXO-SSSR-472-80-2.5-KX</t>
  </si>
  <si>
    <t>RXO-NSR-471-40-1.75-KX</t>
  </si>
  <si>
    <t>RXO-NSR-471-70-2.50-KX</t>
  </si>
  <si>
    <t>RXO-NSR-471-190-4.0-KX</t>
  </si>
  <si>
    <t>RXO-NSR-472-15-1.0-KX</t>
  </si>
  <si>
    <t>RXO-NSR-472-20-1.0-KX</t>
  </si>
  <si>
    <t>RXO-NSR-472-25-1.2-KX</t>
  </si>
  <si>
    <t>RXO-NSR-472-32-1.2-KX</t>
  </si>
  <si>
    <t>RXO-NSR-472-38-1.5-KX</t>
  </si>
  <si>
    <t>RXO-NSR-472-46-1.75-KX</t>
  </si>
  <si>
    <t>RXO-NSR-472-52-2-KX</t>
  </si>
  <si>
    <t>RXO-NSR-472-68-2.5-KX</t>
  </si>
  <si>
    <t>RXO-NSR-472-75-2.5-KX</t>
  </si>
  <si>
    <t>RXO-NSR-472-95-3.0-KX</t>
  </si>
  <si>
    <t>RXO-NSR-472-105-4.0-KX</t>
  </si>
  <si>
    <t>RXO-NSR-472-112-4.0-KX</t>
  </si>
  <si>
    <t>RXO-NSR-472-230-5.0-KX</t>
  </si>
  <si>
    <t>RXO-NSR-471-19-1.2-KX</t>
  </si>
  <si>
    <t>RXO-NSR-471-27-1.2-KX</t>
  </si>
  <si>
    <t>RXO-NSR-471-40-2.5-KX</t>
  </si>
  <si>
    <t>RXO-NSR-471-32-1.5-KX</t>
  </si>
  <si>
    <t>RXO-NSR-471-70-2.5-KX</t>
  </si>
  <si>
    <t>RXO-NSR-6799-04-KX</t>
  </si>
  <si>
    <t>RXO-NSR-6799-08-KX</t>
  </si>
  <si>
    <t>RXO-NSR-6799-06-KX</t>
  </si>
  <si>
    <t>RXO-NSR-471-35-2.5-KX</t>
  </si>
  <si>
    <t>RXO-NSR-6799-02.3-KX</t>
  </si>
  <si>
    <t>RXO-SSSR-471-80-2.50-KX</t>
  </si>
  <si>
    <t>RXO-NSR-471-120-4.0-KX</t>
  </si>
  <si>
    <t>RXO-NSR-472-125-4.0-KX</t>
  </si>
  <si>
    <t>RXO-NSR-471-12-1.0-KX</t>
  </si>
  <si>
    <t>RXO-NSR-471-15-1.0-KX</t>
  </si>
  <si>
    <t>RXO-NSR-471-52-2.0-KX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</si>
</sst>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\ [$€-407]_);[Red]\(#,##0.00\ [$€-407]\)"/>
    <numFmt numFmtId="165" formatCode="#,##0_);[Red]\(#,##0\)"/>
    <numFmt numFmtId="166" formatCode="0.00_);[Red]\(0.00\)"/>
    <numFmt numFmtId="167" formatCode="#,##0.000"/>
    <numFmt numFmtId="168" formatCode="0.000_);[Red]\(0.000\)"/>
  </numFmts>
  <fonts count="1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9" fillId="0" borderId="0">
      <alignment vertical="center"/>
    </xf>
  </cellStyleXfs>
  <cellXfs count="81">
    <xf numFmtId="0" fontId="0" fillId="0" borderId="0" xfId="0"/>
    <xf numFmtId="164" fontId="0" fillId="0" borderId="0" xfId="0" applyNumberFormat="1"/>
    <xf numFmtId="164" fontId="3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vertical="center"/>
    </xf>
    <xf numFmtId="164" fontId="0" fillId="2" borderId="0" xfId="0" applyNumberFormat="1" applyFill="1"/>
    <xf numFmtId="166" fontId="5" fillId="2" borderId="0" xfId="0" applyNumberFormat="1" applyFont="1" applyFill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5" fontId="2" fillId="2" borderId="10" xfId="0" applyNumberFormat="1" applyFont="1" applyFill="1" applyBorder="1" applyAlignment="1">
      <alignment horizontal="center" vertical="center" wrapText="1"/>
    </xf>
    <xf numFmtId="166" fontId="2" fillId="2" borderId="10" xfId="0" applyNumberFormat="1" applyFont="1" applyFill="1" applyBorder="1" applyAlignment="1">
      <alignment horizontal="center" vertical="center" wrapText="1"/>
    </xf>
    <xf numFmtId="165" fontId="6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 wrapText="1"/>
    </xf>
    <xf numFmtId="167" fontId="8" fillId="2" borderId="10" xfId="0" applyNumberFormat="1" applyFont="1" applyFill="1" applyBorder="1" applyAlignment="1">
      <alignment horizontal="center" vertical="center" wrapText="1"/>
    </xf>
    <xf numFmtId="166" fontId="8" fillId="2" borderId="10" xfId="0" applyNumberFormat="1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165" fontId="8" fillId="2" borderId="1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8" fontId="0" fillId="2" borderId="0" xfId="0" applyNumberFormat="1" applyFill="1"/>
    <xf numFmtId="166" fontId="5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2" fillId="2" borderId="14" xfId="0" applyNumberFormat="1" applyFont="1" applyFill="1" applyBorder="1" applyAlignment="1">
      <alignment vertical="center"/>
    </xf>
    <xf numFmtId="164" fontId="2" fillId="2" borderId="14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right" vertical="center"/>
    </xf>
    <xf numFmtId="166" fontId="0" fillId="2" borderId="0" xfId="0" applyNumberForma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6" fillId="2" borderId="9" xfId="0" applyNumberFormat="1" applyFont="1" applyFill="1" applyBorder="1" applyAlignment="1">
      <alignment horizontal="center" vertical="center"/>
    </xf>
    <xf numFmtId="166" fontId="6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164" fontId="2" fillId="2" borderId="1" xfId="1" applyFont="1" applyFill="1" applyBorder="1" applyAlignment="1"/>
    <xf numFmtId="164" fontId="2" fillId="2" borderId="2" xfId="1" applyFont="1" applyFill="1" applyBorder="1" applyAlignment="1"/>
    <xf numFmtId="165" fontId="2" fillId="2" borderId="3" xfId="1" applyNumberFormat="1" applyFont="1" applyFill="1" applyBorder="1" applyAlignment="1"/>
    <xf numFmtId="164" fontId="2" fillId="2" borderId="4" xfId="1" applyFont="1" applyFill="1" applyBorder="1" applyAlignment="1"/>
    <xf numFmtId="164" fontId="2" fillId="2" borderId="0" xfId="1" applyFont="1" applyFill="1" applyAlignment="1"/>
    <xf numFmtId="165" fontId="2" fillId="2" borderId="5" xfId="1" applyNumberFormat="1" applyFont="1" applyFill="1" applyBorder="1" applyAlignment="1"/>
    <xf numFmtId="164" fontId="2" fillId="2" borderId="6" xfId="1" applyFont="1" applyFill="1" applyBorder="1" applyAlignment="1"/>
    <xf numFmtId="164" fontId="2" fillId="2" borderId="7" xfId="1" applyFont="1" applyFill="1" applyBorder="1" applyAlignment="1"/>
    <xf numFmtId="165" fontId="2" fillId="2" borderId="8" xfId="1" applyNumberFormat="1" applyFont="1" applyFill="1" applyBorder="1" applyAlignment="1"/>
    <xf numFmtId="164" fontId="5" fillId="2" borderId="0" xfId="0" applyNumberFormat="1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64" fontId="8" fillId="3" borderId="10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left" vertical="center"/>
    </xf>
    <xf numFmtId="164" fontId="2" fillId="2" borderId="14" xfId="0" applyNumberFormat="1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086-794-7710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B45" workbookViewId="0">
      <selection activeCell="J76" sqref="J76"/>
    </sheetView>
  </sheetViews>
  <sheetFormatPr defaultColWidth="9" defaultRowHeight="15"/>
  <cols>
    <col min="1" max="1" width="4.42578125" style="59" customWidth="1"/>
    <col min="2" max="2" width="7.28515625" style="59" customWidth="1"/>
    <col min="3" max="4" width="12.28515625" style="59" customWidth="1"/>
    <col min="5" max="5" width="15" style="59" customWidth="1"/>
    <col min="6" max="6" width="10" style="59" customWidth="1"/>
    <col min="7" max="8" width="15.28515625" style="59" customWidth="1"/>
    <col min="9" max="9" width="9" style="60"/>
    <col min="10" max="10" width="26.42578125" style="60" bestFit="1" customWidth="1"/>
    <col min="11" max="11" width="9" style="60"/>
    <col min="12" max="12" width="15.28515625" style="60" customWidth="1"/>
    <col min="13" max="16384" width="9" style="60"/>
  </cols>
  <sheetData>
    <row r="1" spans="1:11" s="1" customFormat="1">
      <c r="A1" s="63" t="s">
        <v>0</v>
      </c>
      <c r="B1" s="64"/>
      <c r="C1" s="64"/>
      <c r="D1" s="64"/>
      <c r="E1" s="64"/>
      <c r="F1" s="64"/>
      <c r="G1" s="64"/>
      <c r="H1" s="65"/>
    </row>
    <row r="2" spans="1:11" s="1" customFormat="1">
      <c r="A2" s="66" t="s">
        <v>1</v>
      </c>
      <c r="B2" s="67"/>
      <c r="C2" s="67"/>
      <c r="D2" s="67"/>
      <c r="E2" s="67"/>
      <c r="F2" s="67"/>
      <c r="G2" s="67"/>
      <c r="H2" s="68"/>
    </row>
    <row r="3" spans="1:11" s="1" customFormat="1" ht="15.75" thickBot="1">
      <c r="A3" s="69" t="s">
        <v>2</v>
      </c>
      <c r="B3" s="70"/>
      <c r="C3" s="70"/>
      <c r="D3" s="70"/>
      <c r="E3" s="70"/>
      <c r="F3" s="70"/>
      <c r="G3" s="70"/>
      <c r="H3" s="71"/>
    </row>
    <row r="4" spans="1:11" s="1" customFormat="1" ht="4.5" customHeight="1">
      <c r="A4" s="2"/>
      <c r="B4" s="2"/>
      <c r="C4" s="3"/>
      <c r="D4" s="3"/>
      <c r="E4" s="3"/>
      <c r="F4" s="4"/>
      <c r="G4" s="2"/>
      <c r="H4" s="5"/>
    </row>
    <row r="5" spans="1:11" s="1" customFormat="1" ht="19.899999999999999" customHeight="1">
      <c r="A5" s="72" t="s">
        <v>3</v>
      </c>
      <c r="B5" s="72"/>
      <c r="C5" s="72"/>
      <c r="D5" s="72"/>
      <c r="E5" s="72"/>
      <c r="F5" s="72"/>
      <c r="G5" s="72"/>
      <c r="H5" s="72"/>
    </row>
    <row r="6" spans="1:11" s="1" customFormat="1" ht="13.15" customHeight="1">
      <c r="A6" s="6" t="s">
        <v>4</v>
      </c>
      <c r="B6" s="73" t="s">
        <v>5</v>
      </c>
      <c r="C6" s="73"/>
      <c r="D6" s="73"/>
      <c r="E6" s="73"/>
      <c r="F6" s="73"/>
      <c r="G6" s="74" t="s">
        <v>61</v>
      </c>
      <c r="H6" s="74"/>
    </row>
    <row r="7" spans="1:11" s="1" customFormat="1" ht="13.15" customHeight="1">
      <c r="A7" s="6" t="s">
        <v>6</v>
      </c>
      <c r="B7" s="8" t="s">
        <v>7</v>
      </c>
      <c r="C7" s="9"/>
      <c r="D7" s="9"/>
      <c r="E7" s="10"/>
      <c r="F7" s="11"/>
      <c r="G7" s="12" t="s">
        <v>62</v>
      </c>
      <c r="H7" s="13"/>
    </row>
    <row r="8" spans="1:11" s="1" customFormat="1" ht="13.15" customHeight="1">
      <c r="A8" s="6"/>
      <c r="B8" s="8" t="s">
        <v>8</v>
      </c>
      <c r="C8" s="9"/>
      <c r="D8" s="9"/>
      <c r="E8" s="10"/>
      <c r="F8" s="11"/>
      <c r="G8" s="12"/>
      <c r="H8" s="7"/>
    </row>
    <row r="9" spans="1:11" s="1" customFormat="1" ht="13.15" customHeight="1">
      <c r="A9" s="6"/>
      <c r="B9" s="8" t="s">
        <v>9</v>
      </c>
      <c r="C9" s="9"/>
      <c r="D9" s="9"/>
      <c r="E9" s="10"/>
      <c r="F9" s="11"/>
      <c r="G9" s="13"/>
      <c r="H9" s="14"/>
    </row>
    <row r="10" spans="1:11" s="1" customFormat="1" ht="13.15" customHeight="1">
      <c r="A10" s="15" t="s">
        <v>10</v>
      </c>
      <c r="B10" s="16" t="s">
        <v>11</v>
      </c>
      <c r="C10" s="17"/>
      <c r="D10" s="17"/>
      <c r="E10" s="17"/>
      <c r="F10" s="18"/>
      <c r="G10" s="12"/>
      <c r="H10" s="5"/>
    </row>
    <row r="11" spans="1:11" s="1" customFormat="1" ht="45" customHeight="1">
      <c r="A11" s="19" t="s">
        <v>12</v>
      </c>
      <c r="B11" s="19" t="s">
        <v>13</v>
      </c>
      <c r="C11" s="19" t="s">
        <v>14</v>
      </c>
      <c r="D11" s="19" t="s">
        <v>15</v>
      </c>
      <c r="E11" s="20" t="s">
        <v>16</v>
      </c>
      <c r="F11" s="21" t="s">
        <v>17</v>
      </c>
      <c r="G11" s="20" t="s">
        <v>18</v>
      </c>
      <c r="H11" s="22" t="s">
        <v>19</v>
      </c>
    </row>
    <row r="12" spans="1:11" s="1" customFormat="1" ht="13.9" customHeight="1">
      <c r="A12" s="23">
        <v>1</v>
      </c>
      <c r="B12" s="78" t="s">
        <v>20</v>
      </c>
      <c r="C12" s="24" t="s">
        <v>21</v>
      </c>
      <c r="D12" s="24" t="s">
        <v>22</v>
      </c>
      <c r="E12" s="27" t="s">
        <v>23</v>
      </c>
      <c r="F12" s="28">
        <v>15000</v>
      </c>
      <c r="G12" s="25">
        <v>42.390999999999998</v>
      </c>
      <c r="H12" s="26">
        <f>G12*F12/1000</f>
        <v>635.86500000000001</v>
      </c>
      <c r="J12" s="1" t="s">
        <v>104</v>
      </c>
      <c r="K12" s="1">
        <f>G12/1000</f>
        <v>4.2390999999999998E-2</v>
      </c>
    </row>
    <row r="13" spans="1:11" s="1" customFormat="1" ht="13.9" customHeight="1">
      <c r="A13" s="23">
        <v>2</v>
      </c>
      <c r="B13" s="79"/>
      <c r="C13" s="24" t="s">
        <v>21</v>
      </c>
      <c r="D13" s="24" t="s">
        <v>22</v>
      </c>
      <c r="E13" s="27" t="s">
        <v>24</v>
      </c>
      <c r="F13" s="28">
        <v>20000</v>
      </c>
      <c r="G13" s="25">
        <v>39.127000000000002</v>
      </c>
      <c r="H13" s="26">
        <f t="shared" ref="H13:H14" si="0">G13*F13/1000</f>
        <v>782.54</v>
      </c>
      <c r="J13" s="1" t="s">
        <v>105</v>
      </c>
      <c r="K13" s="1">
        <f t="shared" ref="K13:K76" si="1">G13/1000</f>
        <v>3.9127000000000002E-2</v>
      </c>
    </row>
    <row r="14" spans="1:11" s="1" customFormat="1" ht="13.9" customHeight="1">
      <c r="A14" s="23">
        <v>3</v>
      </c>
      <c r="B14" s="79"/>
      <c r="C14" s="24" t="s">
        <v>21</v>
      </c>
      <c r="D14" s="24" t="s">
        <v>22</v>
      </c>
      <c r="E14" s="27" t="s">
        <v>25</v>
      </c>
      <c r="F14" s="28">
        <v>1000</v>
      </c>
      <c r="G14" s="25">
        <v>125.46299999999999</v>
      </c>
      <c r="H14" s="26">
        <f t="shared" si="0"/>
        <v>125.46299999999999</v>
      </c>
      <c r="J14" s="1" t="s">
        <v>106</v>
      </c>
      <c r="K14" s="1">
        <f t="shared" si="1"/>
        <v>0.12546299999999999</v>
      </c>
    </row>
    <row r="15" spans="1:11" s="1" customFormat="1" ht="13.9" customHeight="1">
      <c r="A15" s="23">
        <v>4</v>
      </c>
      <c r="B15" s="79"/>
      <c r="C15" s="61" t="s">
        <v>21</v>
      </c>
      <c r="D15" s="61" t="s">
        <v>22</v>
      </c>
      <c r="E15" s="62" t="s">
        <v>30</v>
      </c>
      <c r="F15" s="28">
        <v>500</v>
      </c>
      <c r="G15" s="25">
        <v>228.91300000000001</v>
      </c>
      <c r="H15" s="26">
        <f t="shared" ref="H15:H18" si="2">G15*F15/1000</f>
        <v>114.45650000000001</v>
      </c>
      <c r="J15" s="1" t="s">
        <v>107</v>
      </c>
      <c r="K15" s="1">
        <f t="shared" si="1"/>
        <v>0.22891300000000001</v>
      </c>
    </row>
    <row r="16" spans="1:11" s="1" customFormat="1" ht="13.9" customHeight="1">
      <c r="A16" s="23">
        <v>5</v>
      </c>
      <c r="B16" s="79"/>
      <c r="C16" s="24" t="s">
        <v>21</v>
      </c>
      <c r="D16" s="24" t="s">
        <v>22</v>
      </c>
      <c r="E16" s="27" t="s">
        <v>31</v>
      </c>
      <c r="F16" s="28">
        <v>100</v>
      </c>
      <c r="G16" s="25">
        <v>438.04300000000001</v>
      </c>
      <c r="H16" s="26">
        <f t="shared" si="2"/>
        <v>43.804300000000005</v>
      </c>
      <c r="J16" s="1" t="s">
        <v>108</v>
      </c>
      <c r="K16" s="1">
        <f t="shared" si="1"/>
        <v>0.43804300000000002</v>
      </c>
    </row>
    <row r="17" spans="1:11" s="1" customFormat="1" ht="13.9" customHeight="1">
      <c r="A17" s="23">
        <v>6</v>
      </c>
      <c r="B17" s="79"/>
      <c r="C17" s="24" t="s">
        <v>26</v>
      </c>
      <c r="D17" s="24" t="s">
        <v>22</v>
      </c>
      <c r="E17" s="27" t="s">
        <v>27</v>
      </c>
      <c r="F17" s="28">
        <v>50000</v>
      </c>
      <c r="G17" s="25">
        <v>75.567999999999998</v>
      </c>
      <c r="H17" s="26">
        <f>G17*F17/1000</f>
        <v>3778.4</v>
      </c>
      <c r="J17" s="1" t="s">
        <v>109</v>
      </c>
      <c r="K17" s="1">
        <f t="shared" si="1"/>
        <v>7.5567999999999996E-2</v>
      </c>
    </row>
    <row r="18" spans="1:11" s="1" customFormat="1" ht="13.9" customHeight="1">
      <c r="A18" s="23">
        <v>7</v>
      </c>
      <c r="B18" s="79"/>
      <c r="C18" s="24" t="s">
        <v>26</v>
      </c>
      <c r="D18" s="24" t="s">
        <v>22</v>
      </c>
      <c r="E18" s="27" t="s">
        <v>33</v>
      </c>
      <c r="F18" s="28">
        <v>20000</v>
      </c>
      <c r="G18" s="25">
        <v>95</v>
      </c>
      <c r="H18" s="26">
        <f t="shared" si="2"/>
        <v>1900</v>
      </c>
      <c r="J18" s="1" t="s">
        <v>110</v>
      </c>
      <c r="K18" s="1">
        <f t="shared" si="1"/>
        <v>9.5000000000000001E-2</v>
      </c>
    </row>
    <row r="19" spans="1:11" s="1" customFormat="1" ht="13.9" customHeight="1">
      <c r="A19" s="23">
        <v>8</v>
      </c>
      <c r="B19" s="79"/>
      <c r="C19" s="24" t="s">
        <v>34</v>
      </c>
      <c r="D19" s="24" t="s">
        <v>35</v>
      </c>
      <c r="E19" s="27">
        <v>20</v>
      </c>
      <c r="F19" s="28">
        <v>10000</v>
      </c>
      <c r="G19" s="25">
        <v>19.285714285714285</v>
      </c>
      <c r="H19" s="26">
        <f t="shared" ref="H19:H32" si="3">G19*F19/1000</f>
        <v>192.85714285714283</v>
      </c>
      <c r="J19" s="1" t="s">
        <v>96</v>
      </c>
      <c r="K19" s="1">
        <f t="shared" si="1"/>
        <v>1.9285714285714285E-2</v>
      </c>
    </row>
    <row r="20" spans="1:11" s="1" customFormat="1" ht="13.9" customHeight="1">
      <c r="A20" s="23">
        <v>9</v>
      </c>
      <c r="B20" s="79"/>
      <c r="C20" s="24" t="s">
        <v>34</v>
      </c>
      <c r="D20" s="24" t="s">
        <v>35</v>
      </c>
      <c r="E20" s="27">
        <v>22</v>
      </c>
      <c r="F20" s="28">
        <v>2000</v>
      </c>
      <c r="G20" s="25">
        <v>19.285714285714285</v>
      </c>
      <c r="H20" s="26">
        <f t="shared" si="3"/>
        <v>38.571428571428569</v>
      </c>
      <c r="J20" s="1" t="s">
        <v>97</v>
      </c>
      <c r="K20" s="1">
        <f t="shared" si="1"/>
        <v>1.9285714285714285E-2</v>
      </c>
    </row>
    <row r="21" spans="1:11" s="1" customFormat="1" ht="13.9" customHeight="1">
      <c r="A21" s="23">
        <v>10</v>
      </c>
      <c r="B21" s="79"/>
      <c r="C21" s="24" t="s">
        <v>34</v>
      </c>
      <c r="D21" s="24" t="s">
        <v>35</v>
      </c>
      <c r="E21" s="27">
        <v>25</v>
      </c>
      <c r="F21" s="28">
        <v>6000</v>
      </c>
      <c r="G21" s="25">
        <v>25.071428571428573</v>
      </c>
      <c r="H21" s="26">
        <f t="shared" si="3"/>
        <v>150.42857142857144</v>
      </c>
      <c r="J21" s="1" t="s">
        <v>98</v>
      </c>
      <c r="K21" s="1">
        <f t="shared" si="1"/>
        <v>2.5071428571428574E-2</v>
      </c>
    </row>
    <row r="22" spans="1:11" s="1" customFormat="1" ht="13.9" customHeight="1">
      <c r="A22" s="23">
        <v>11</v>
      </c>
      <c r="B22" s="79"/>
      <c r="C22" s="24" t="s">
        <v>34</v>
      </c>
      <c r="D22" s="24" t="s">
        <v>35</v>
      </c>
      <c r="E22" s="27">
        <v>42</v>
      </c>
      <c r="F22" s="28">
        <v>2000</v>
      </c>
      <c r="G22" s="25">
        <v>73.214285714285708</v>
      </c>
      <c r="H22" s="26">
        <f t="shared" si="3"/>
        <v>146.42857142857142</v>
      </c>
      <c r="J22" s="1" t="s">
        <v>99</v>
      </c>
      <c r="K22" s="1">
        <f t="shared" si="1"/>
        <v>7.3214285714285704E-2</v>
      </c>
    </row>
    <row r="23" spans="1:11" s="1" customFormat="1" ht="13.9" customHeight="1">
      <c r="A23" s="23">
        <v>12</v>
      </c>
      <c r="B23" s="79"/>
      <c r="C23" s="24" t="s">
        <v>34</v>
      </c>
      <c r="D23" s="24" t="s">
        <v>35</v>
      </c>
      <c r="E23" s="27">
        <v>52</v>
      </c>
      <c r="F23" s="28">
        <v>2000</v>
      </c>
      <c r="G23" s="25">
        <v>114.28571428571429</v>
      </c>
      <c r="H23" s="26">
        <f t="shared" si="3"/>
        <v>228.57142857142858</v>
      </c>
      <c r="J23" s="1" t="s">
        <v>100</v>
      </c>
      <c r="K23" s="1">
        <f t="shared" si="1"/>
        <v>0.1142857142857143</v>
      </c>
    </row>
    <row r="24" spans="1:11" s="1" customFormat="1" ht="13.9" customHeight="1">
      <c r="A24" s="23">
        <v>13</v>
      </c>
      <c r="B24" s="79"/>
      <c r="C24" s="24" t="s">
        <v>34</v>
      </c>
      <c r="D24" s="24" t="s">
        <v>35</v>
      </c>
      <c r="E24" s="27">
        <v>58</v>
      </c>
      <c r="F24" s="28">
        <v>400</v>
      </c>
      <c r="G24" s="25">
        <v>130.35714285714286</v>
      </c>
      <c r="H24" s="26">
        <f t="shared" si="3"/>
        <v>52.142857142857146</v>
      </c>
      <c r="J24" s="1" t="s">
        <v>101</v>
      </c>
      <c r="K24" s="1">
        <f t="shared" si="1"/>
        <v>0.13035714285714287</v>
      </c>
    </row>
    <row r="25" spans="1:11" s="1" customFormat="1" ht="13.9" customHeight="1">
      <c r="A25" s="23">
        <v>14</v>
      </c>
      <c r="B25" s="79"/>
      <c r="C25" s="24" t="s">
        <v>34</v>
      </c>
      <c r="D25" s="24" t="s">
        <v>35</v>
      </c>
      <c r="E25" s="27">
        <v>63</v>
      </c>
      <c r="F25" s="28">
        <v>500</v>
      </c>
      <c r="G25" s="25">
        <v>139.28571428571428</v>
      </c>
      <c r="H25" s="26">
        <f t="shared" si="3"/>
        <v>69.642857142857139</v>
      </c>
      <c r="J25" s="1" t="s">
        <v>102</v>
      </c>
      <c r="K25" s="1">
        <f t="shared" si="1"/>
        <v>0.13928571428571429</v>
      </c>
    </row>
    <row r="26" spans="1:11" s="1" customFormat="1" ht="13.9" customHeight="1">
      <c r="A26" s="23">
        <v>15</v>
      </c>
      <c r="B26" s="79"/>
      <c r="C26" s="24" t="s">
        <v>34</v>
      </c>
      <c r="D26" s="24" t="s">
        <v>35</v>
      </c>
      <c r="E26" s="27">
        <v>67</v>
      </c>
      <c r="F26" s="28">
        <v>500</v>
      </c>
      <c r="G26" s="25">
        <v>178</v>
      </c>
      <c r="H26" s="26">
        <f t="shared" si="3"/>
        <v>89</v>
      </c>
      <c r="J26" s="1" t="s">
        <v>103</v>
      </c>
      <c r="K26" s="1">
        <f t="shared" si="1"/>
        <v>0.17799999999999999</v>
      </c>
    </row>
    <row r="27" spans="1:11" s="1" customFormat="1" ht="13.9" customHeight="1">
      <c r="A27" s="23">
        <v>16</v>
      </c>
      <c r="B27" s="79"/>
      <c r="C27" s="24" t="s">
        <v>34</v>
      </c>
      <c r="D27" s="24" t="s">
        <v>35</v>
      </c>
      <c r="E27" s="27">
        <v>80</v>
      </c>
      <c r="F27" s="28">
        <v>500</v>
      </c>
      <c r="G27" s="25">
        <v>267.85714285714283</v>
      </c>
      <c r="H27" s="26">
        <f t="shared" si="3"/>
        <v>133.92857142857142</v>
      </c>
      <c r="J27" s="1" t="s">
        <v>152</v>
      </c>
      <c r="K27" s="1">
        <f t="shared" si="1"/>
        <v>0.26785714285714285</v>
      </c>
    </row>
    <row r="28" spans="1:11" s="1" customFormat="1" ht="13.9" customHeight="1">
      <c r="A28" s="23">
        <v>17</v>
      </c>
      <c r="B28" s="79"/>
      <c r="C28" s="24" t="s">
        <v>26</v>
      </c>
      <c r="D28" s="24" t="s">
        <v>35</v>
      </c>
      <c r="E28" s="27" t="s">
        <v>49</v>
      </c>
      <c r="F28" s="28">
        <v>4000</v>
      </c>
      <c r="G28" s="25">
        <v>11.14</v>
      </c>
      <c r="H28" s="26">
        <f t="shared" si="3"/>
        <v>44.56</v>
      </c>
      <c r="J28" s="1" t="s">
        <v>111</v>
      </c>
      <c r="K28" s="1">
        <f t="shared" si="1"/>
        <v>1.1140000000000001E-2</v>
      </c>
    </row>
    <row r="29" spans="1:11" s="1" customFormat="1" ht="13.9" customHeight="1">
      <c r="A29" s="23">
        <v>18</v>
      </c>
      <c r="B29" s="79"/>
      <c r="C29" s="24" t="s">
        <v>26</v>
      </c>
      <c r="D29" s="24" t="s">
        <v>35</v>
      </c>
      <c r="E29" s="27" t="s">
        <v>29</v>
      </c>
      <c r="F29" s="28">
        <v>4000</v>
      </c>
      <c r="G29" s="25">
        <v>12</v>
      </c>
      <c r="H29" s="26">
        <f t="shared" si="3"/>
        <v>48</v>
      </c>
      <c r="J29" s="1" t="s">
        <v>112</v>
      </c>
      <c r="K29" s="1">
        <f t="shared" si="1"/>
        <v>1.2E-2</v>
      </c>
    </row>
    <row r="30" spans="1:11" s="1" customFormat="1" ht="13.9" customHeight="1">
      <c r="A30" s="23">
        <v>19</v>
      </c>
      <c r="B30" s="79"/>
      <c r="C30" s="24" t="s">
        <v>26</v>
      </c>
      <c r="D30" s="24" t="s">
        <v>35</v>
      </c>
      <c r="E30" s="27" t="s">
        <v>50</v>
      </c>
      <c r="F30" s="28">
        <v>10000</v>
      </c>
      <c r="G30" s="25">
        <v>20.57</v>
      </c>
      <c r="H30" s="26">
        <f t="shared" si="3"/>
        <v>205.7</v>
      </c>
      <c r="J30" s="1" t="s">
        <v>113</v>
      </c>
      <c r="K30" s="1">
        <f t="shared" si="1"/>
        <v>2.0570000000000001E-2</v>
      </c>
    </row>
    <row r="31" spans="1:11" s="1" customFormat="1" ht="13.9" customHeight="1">
      <c r="A31" s="23">
        <v>20</v>
      </c>
      <c r="B31" s="79"/>
      <c r="C31" s="24" t="s">
        <v>26</v>
      </c>
      <c r="D31" s="24" t="s">
        <v>35</v>
      </c>
      <c r="E31" s="27" t="s">
        <v>51</v>
      </c>
      <c r="F31" s="28">
        <v>2000</v>
      </c>
      <c r="G31" s="25">
        <v>21.99</v>
      </c>
      <c r="H31" s="26">
        <f t="shared" si="3"/>
        <v>43.98</v>
      </c>
      <c r="J31" s="1" t="s">
        <v>114</v>
      </c>
      <c r="K31" s="1">
        <f t="shared" si="1"/>
        <v>2.1989999999999999E-2</v>
      </c>
    </row>
    <row r="32" spans="1:11" s="1" customFormat="1" ht="13.9" customHeight="1">
      <c r="A32" s="23">
        <v>21</v>
      </c>
      <c r="B32" s="79"/>
      <c r="C32" s="24" t="s">
        <v>26</v>
      </c>
      <c r="D32" s="24" t="s">
        <v>35</v>
      </c>
      <c r="E32" s="27" t="s">
        <v>52</v>
      </c>
      <c r="F32" s="28">
        <v>2000</v>
      </c>
      <c r="G32" s="25">
        <v>27</v>
      </c>
      <c r="H32" s="26">
        <f t="shared" si="3"/>
        <v>54</v>
      </c>
      <c r="J32" s="1" t="s">
        <v>115</v>
      </c>
      <c r="K32" s="1">
        <f t="shared" si="1"/>
        <v>2.7E-2</v>
      </c>
    </row>
    <row r="33" spans="1:11" s="1" customFormat="1" ht="13.9" customHeight="1">
      <c r="A33" s="23">
        <v>22</v>
      </c>
      <c r="B33" s="79"/>
      <c r="C33" s="24" t="s">
        <v>26</v>
      </c>
      <c r="D33" s="24" t="s">
        <v>35</v>
      </c>
      <c r="E33" s="27" t="s">
        <v>53</v>
      </c>
      <c r="F33" s="28">
        <v>2000</v>
      </c>
      <c r="G33" s="25">
        <v>46.43</v>
      </c>
      <c r="H33" s="26">
        <f t="shared" ref="H33:H78" si="4">G33*F33/1000</f>
        <v>92.86</v>
      </c>
      <c r="J33" s="1" t="s">
        <v>116</v>
      </c>
      <c r="K33" s="1">
        <f t="shared" si="1"/>
        <v>4.6429999999999999E-2</v>
      </c>
    </row>
    <row r="34" spans="1:11" s="1" customFormat="1" ht="13.9" customHeight="1">
      <c r="A34" s="23">
        <v>23</v>
      </c>
      <c r="B34" s="79"/>
      <c r="C34" s="24" t="s">
        <v>26</v>
      </c>
      <c r="D34" s="24" t="s">
        <v>35</v>
      </c>
      <c r="E34" s="27" t="s">
        <v>28</v>
      </c>
      <c r="F34" s="28">
        <v>2000</v>
      </c>
      <c r="G34" s="25">
        <v>75</v>
      </c>
      <c r="H34" s="26">
        <f t="shared" si="4"/>
        <v>150</v>
      </c>
      <c r="J34" s="1" t="s">
        <v>117</v>
      </c>
      <c r="K34" s="1">
        <f t="shared" si="1"/>
        <v>7.4999999999999997E-2</v>
      </c>
    </row>
    <row r="35" spans="1:11" s="1" customFormat="1" ht="13.9" customHeight="1">
      <c r="A35" s="23">
        <v>24</v>
      </c>
      <c r="B35" s="79"/>
      <c r="C35" s="24" t="s">
        <v>26</v>
      </c>
      <c r="D35" s="24" t="s">
        <v>35</v>
      </c>
      <c r="E35" s="27" t="s">
        <v>54</v>
      </c>
      <c r="F35" s="28">
        <v>1000</v>
      </c>
      <c r="G35" s="25">
        <v>87.5</v>
      </c>
      <c r="H35" s="26">
        <f t="shared" si="4"/>
        <v>87.5</v>
      </c>
      <c r="J35" s="1" t="s">
        <v>118</v>
      </c>
      <c r="K35" s="1">
        <f t="shared" si="1"/>
        <v>8.7499999999999994E-2</v>
      </c>
    </row>
    <row r="36" spans="1:11" s="1" customFormat="1" ht="13.9" customHeight="1">
      <c r="A36" s="23">
        <v>25</v>
      </c>
      <c r="B36" s="79"/>
      <c r="C36" s="24" t="s">
        <v>26</v>
      </c>
      <c r="D36" s="24" t="s">
        <v>35</v>
      </c>
      <c r="E36" s="27" t="s">
        <v>55</v>
      </c>
      <c r="F36" s="28">
        <v>700</v>
      </c>
      <c r="G36" s="25">
        <v>110.71</v>
      </c>
      <c r="H36" s="26">
        <f t="shared" si="4"/>
        <v>77.497</v>
      </c>
      <c r="J36" s="1" t="s">
        <v>119</v>
      </c>
      <c r="K36" s="1">
        <f t="shared" si="1"/>
        <v>0.11070999999999999</v>
      </c>
    </row>
    <row r="37" spans="1:11" s="1" customFormat="1" ht="13.9" customHeight="1">
      <c r="A37" s="23">
        <v>26</v>
      </c>
      <c r="B37" s="79"/>
      <c r="C37" s="24" t="s">
        <v>26</v>
      </c>
      <c r="D37" s="24" t="s">
        <v>35</v>
      </c>
      <c r="E37" s="27" t="s">
        <v>56</v>
      </c>
      <c r="F37" s="28">
        <v>1000</v>
      </c>
      <c r="G37" s="25">
        <v>117.86</v>
      </c>
      <c r="H37" s="26">
        <f t="shared" si="4"/>
        <v>117.86</v>
      </c>
      <c r="J37" s="1" t="s">
        <v>120</v>
      </c>
      <c r="K37" s="1">
        <f t="shared" si="1"/>
        <v>0.11785999999999999</v>
      </c>
    </row>
    <row r="38" spans="1:11" s="1" customFormat="1" ht="13.9" customHeight="1">
      <c r="A38" s="23">
        <v>27</v>
      </c>
      <c r="B38" s="79"/>
      <c r="C38" s="24" t="s">
        <v>26</v>
      </c>
      <c r="D38" s="24" t="s">
        <v>35</v>
      </c>
      <c r="E38" s="27" t="s">
        <v>57</v>
      </c>
      <c r="F38" s="28">
        <v>1000</v>
      </c>
      <c r="G38" s="25">
        <v>160.71</v>
      </c>
      <c r="H38" s="26">
        <f t="shared" si="4"/>
        <v>160.71</v>
      </c>
      <c r="J38" s="1" t="s">
        <v>121</v>
      </c>
      <c r="K38" s="1">
        <f t="shared" si="1"/>
        <v>0.16071000000000002</v>
      </c>
    </row>
    <row r="39" spans="1:11" s="1" customFormat="1" ht="13.9" customHeight="1">
      <c r="A39" s="23">
        <v>28</v>
      </c>
      <c r="B39" s="79"/>
      <c r="C39" s="24" t="s">
        <v>26</v>
      </c>
      <c r="D39" s="24" t="s">
        <v>35</v>
      </c>
      <c r="E39" s="27" t="s">
        <v>58</v>
      </c>
      <c r="F39" s="28">
        <v>500</v>
      </c>
      <c r="G39" s="25">
        <v>171.43</v>
      </c>
      <c r="H39" s="26">
        <f t="shared" si="4"/>
        <v>85.715000000000003</v>
      </c>
      <c r="J39" s="1" t="s">
        <v>122</v>
      </c>
      <c r="K39" s="1">
        <f t="shared" si="1"/>
        <v>0.17143</v>
      </c>
    </row>
    <row r="40" spans="1:11" s="1" customFormat="1" ht="13.9" customHeight="1">
      <c r="A40" s="23">
        <v>29</v>
      </c>
      <c r="B40" s="79"/>
      <c r="C40" s="24" t="s">
        <v>26</v>
      </c>
      <c r="D40" s="24" t="s">
        <v>35</v>
      </c>
      <c r="E40" s="27" t="s">
        <v>59</v>
      </c>
      <c r="F40" s="28">
        <v>500</v>
      </c>
      <c r="G40" s="25">
        <v>171.43</v>
      </c>
      <c r="H40" s="26">
        <f t="shared" si="4"/>
        <v>85.715000000000003</v>
      </c>
      <c r="J40" s="1" t="s">
        <v>123</v>
      </c>
      <c r="K40" s="1">
        <f t="shared" si="1"/>
        <v>0.17143</v>
      </c>
    </row>
    <row r="41" spans="1:11" s="1" customFormat="1" ht="13.9" customHeight="1">
      <c r="A41" s="23">
        <v>30</v>
      </c>
      <c r="B41" s="79"/>
      <c r="C41" s="24" t="s">
        <v>26</v>
      </c>
      <c r="D41" s="24" t="s">
        <v>35</v>
      </c>
      <c r="E41" s="27" t="s">
        <v>60</v>
      </c>
      <c r="F41" s="28">
        <v>750</v>
      </c>
      <c r="G41" s="25">
        <v>200</v>
      </c>
      <c r="H41" s="26">
        <f t="shared" si="4"/>
        <v>150</v>
      </c>
      <c r="J41" s="1" t="s">
        <v>124</v>
      </c>
      <c r="K41" s="1">
        <f t="shared" si="1"/>
        <v>0.2</v>
      </c>
    </row>
    <row r="42" spans="1:11" s="1" customFormat="1" ht="13.9" customHeight="1">
      <c r="A42" s="23">
        <v>31</v>
      </c>
      <c r="B42" s="80"/>
      <c r="C42" s="24" t="s">
        <v>26</v>
      </c>
      <c r="D42" s="24" t="s">
        <v>35</v>
      </c>
      <c r="E42" s="27" t="s">
        <v>32</v>
      </c>
      <c r="F42" s="28">
        <v>750</v>
      </c>
      <c r="G42" s="25">
        <v>242.86</v>
      </c>
      <c r="H42" s="26">
        <f t="shared" si="4"/>
        <v>182.14500000000001</v>
      </c>
      <c r="J42" s="1" t="s">
        <v>125</v>
      </c>
      <c r="K42" s="1">
        <f t="shared" si="1"/>
        <v>0.24286000000000002</v>
      </c>
    </row>
    <row r="43" spans="1:11" s="1" customFormat="1" ht="13.9" customHeight="1">
      <c r="A43" s="23">
        <v>32</v>
      </c>
      <c r="B43" s="78" t="s">
        <v>84</v>
      </c>
      <c r="C43" s="24" t="s">
        <v>21</v>
      </c>
      <c r="D43" s="24" t="s">
        <v>22</v>
      </c>
      <c r="E43" s="27" t="s">
        <v>65</v>
      </c>
      <c r="F43" s="28">
        <v>10000</v>
      </c>
      <c r="G43" s="25">
        <v>33.207000000000001</v>
      </c>
      <c r="H43" s="26">
        <f t="shared" si="4"/>
        <v>332.07</v>
      </c>
      <c r="J43" s="1" t="s">
        <v>150</v>
      </c>
      <c r="K43" s="1">
        <f t="shared" si="1"/>
        <v>3.3207E-2</v>
      </c>
    </row>
    <row r="44" spans="1:11" s="1" customFormat="1" ht="13.9" customHeight="1">
      <c r="A44" s="23">
        <v>33</v>
      </c>
      <c r="B44" s="79"/>
      <c r="C44" s="24" t="s">
        <v>21</v>
      </c>
      <c r="D44" s="24" t="s">
        <v>22</v>
      </c>
      <c r="E44" s="27" t="s">
        <v>66</v>
      </c>
      <c r="F44" s="28">
        <v>20000</v>
      </c>
      <c r="G44" s="25">
        <v>23.315000000000001</v>
      </c>
      <c r="H44" s="26">
        <f t="shared" si="4"/>
        <v>466.3</v>
      </c>
      <c r="J44" s="1" t="s">
        <v>126</v>
      </c>
      <c r="K44" s="1">
        <f t="shared" si="1"/>
        <v>2.3315000000000002E-2</v>
      </c>
    </row>
    <row r="45" spans="1:11" s="1" customFormat="1" ht="13.9" customHeight="1">
      <c r="A45" s="23">
        <v>34</v>
      </c>
      <c r="B45" s="79"/>
      <c r="C45" s="24" t="s">
        <v>21</v>
      </c>
      <c r="D45" s="24" t="s">
        <v>22</v>
      </c>
      <c r="E45" s="27" t="s">
        <v>67</v>
      </c>
      <c r="F45" s="28">
        <v>10000</v>
      </c>
      <c r="G45" s="25">
        <v>25.434999999999999</v>
      </c>
      <c r="H45" s="26">
        <f t="shared" si="4"/>
        <v>254.35</v>
      </c>
      <c r="J45" s="1" t="s">
        <v>95</v>
      </c>
      <c r="K45" s="1">
        <f t="shared" si="1"/>
        <v>2.5434999999999999E-2</v>
      </c>
    </row>
    <row r="46" spans="1:11" s="1" customFormat="1" ht="13.9" customHeight="1">
      <c r="A46" s="23">
        <v>35</v>
      </c>
      <c r="B46" s="79"/>
      <c r="C46" s="24" t="s">
        <v>21</v>
      </c>
      <c r="D46" s="24" t="s">
        <v>22</v>
      </c>
      <c r="E46" s="27" t="s">
        <v>68</v>
      </c>
      <c r="F46" s="28">
        <v>5000</v>
      </c>
      <c r="G46" s="25">
        <v>66.691000000000003</v>
      </c>
      <c r="H46" s="26">
        <f t="shared" si="4"/>
        <v>333.45499999999998</v>
      </c>
      <c r="J46" s="1" t="s">
        <v>127</v>
      </c>
      <c r="K46" s="1">
        <f t="shared" si="1"/>
        <v>6.6691E-2</v>
      </c>
    </row>
    <row r="47" spans="1:11" s="1" customFormat="1" ht="13.9" customHeight="1">
      <c r="A47" s="23">
        <v>36</v>
      </c>
      <c r="B47" s="79"/>
      <c r="C47" s="61" t="s">
        <v>21</v>
      </c>
      <c r="D47" s="61" t="s">
        <v>22</v>
      </c>
      <c r="E47" s="62" t="s">
        <v>30</v>
      </c>
      <c r="F47" s="28">
        <v>1000</v>
      </c>
      <c r="G47" s="25">
        <v>228.91300000000001</v>
      </c>
      <c r="H47" s="26">
        <f t="shared" si="4"/>
        <v>228.91300000000001</v>
      </c>
      <c r="J47" s="1" t="s">
        <v>107</v>
      </c>
      <c r="K47" s="1">
        <f t="shared" si="1"/>
        <v>0.22891300000000001</v>
      </c>
    </row>
    <row r="48" spans="1:11" s="1" customFormat="1" ht="13.9" customHeight="1">
      <c r="A48" s="23">
        <v>37</v>
      </c>
      <c r="B48" s="79"/>
      <c r="C48" s="24" t="s">
        <v>21</v>
      </c>
      <c r="D48" s="24" t="s">
        <v>22</v>
      </c>
      <c r="E48" s="27" t="s">
        <v>64</v>
      </c>
      <c r="F48" s="28">
        <v>1000</v>
      </c>
      <c r="G48" s="25">
        <v>254.34800000000001</v>
      </c>
      <c r="H48" s="26">
        <f t="shared" si="4"/>
        <v>254.34800000000001</v>
      </c>
      <c r="J48" s="1" t="s">
        <v>153</v>
      </c>
      <c r="K48" s="1">
        <f t="shared" si="1"/>
        <v>0.25434800000000002</v>
      </c>
    </row>
    <row r="49" spans="1:11" s="1" customFormat="1" ht="13.9" customHeight="1">
      <c r="A49" s="23">
        <v>38</v>
      </c>
      <c r="B49" s="79"/>
      <c r="C49" s="24" t="s">
        <v>21</v>
      </c>
      <c r="D49" s="24" t="s">
        <v>22</v>
      </c>
      <c r="E49" s="27" t="s">
        <v>69</v>
      </c>
      <c r="F49" s="28">
        <v>50</v>
      </c>
      <c r="G49" s="25">
        <v>536.95699999999999</v>
      </c>
      <c r="H49" s="26">
        <f t="shared" si="4"/>
        <v>26.847849999999998</v>
      </c>
      <c r="J49" s="1" t="s">
        <v>128</v>
      </c>
      <c r="K49" s="1">
        <f t="shared" si="1"/>
        <v>0.53695700000000002</v>
      </c>
    </row>
    <row r="50" spans="1:11" s="1" customFormat="1" ht="13.9" customHeight="1">
      <c r="A50" s="23">
        <v>39</v>
      </c>
      <c r="B50" s="79"/>
      <c r="C50" s="24" t="s">
        <v>26</v>
      </c>
      <c r="D50" s="24" t="s">
        <v>22</v>
      </c>
      <c r="E50" s="27" t="s">
        <v>49</v>
      </c>
      <c r="F50" s="28">
        <v>100000</v>
      </c>
      <c r="G50" s="25">
        <v>2.9870000000000001</v>
      </c>
      <c r="H50" s="26">
        <f t="shared" si="4"/>
        <v>298.7</v>
      </c>
      <c r="J50" s="1" t="s">
        <v>129</v>
      </c>
      <c r="K50" s="1">
        <f t="shared" si="1"/>
        <v>2.9870000000000001E-3</v>
      </c>
    </row>
    <row r="51" spans="1:11" s="1" customFormat="1" ht="13.9" customHeight="1">
      <c r="A51" s="23">
        <v>40</v>
      </c>
      <c r="B51" s="79"/>
      <c r="C51" s="24" t="s">
        <v>26</v>
      </c>
      <c r="D51" s="24" t="s">
        <v>22</v>
      </c>
      <c r="E51" s="27" t="s">
        <v>50</v>
      </c>
      <c r="F51" s="28">
        <v>30000</v>
      </c>
      <c r="G51" s="25">
        <v>4.8040000000000003</v>
      </c>
      <c r="H51" s="26">
        <f t="shared" si="4"/>
        <v>144.12</v>
      </c>
      <c r="J51" s="1" t="s">
        <v>130</v>
      </c>
      <c r="K51" s="1">
        <f t="shared" si="1"/>
        <v>4.8040000000000001E-3</v>
      </c>
    </row>
    <row r="52" spans="1:11" s="1" customFormat="1" ht="13.9" customHeight="1">
      <c r="A52" s="23">
        <v>41</v>
      </c>
      <c r="B52" s="79"/>
      <c r="C52" s="24" t="s">
        <v>26</v>
      </c>
      <c r="D52" s="24" t="s">
        <v>22</v>
      </c>
      <c r="E52" s="27" t="s">
        <v>71</v>
      </c>
      <c r="F52" s="28">
        <v>10000</v>
      </c>
      <c r="G52" s="25">
        <v>7.2869999999999999</v>
      </c>
      <c r="H52" s="26">
        <f t="shared" si="4"/>
        <v>72.87</v>
      </c>
      <c r="J52" s="1" t="s">
        <v>131</v>
      </c>
      <c r="K52" s="1">
        <f t="shared" si="1"/>
        <v>7.2870000000000001E-3</v>
      </c>
    </row>
    <row r="53" spans="1:11" s="1" customFormat="1" ht="13.9" customHeight="1">
      <c r="A53" s="23">
        <v>42</v>
      </c>
      <c r="B53" s="79"/>
      <c r="C53" s="24" t="s">
        <v>26</v>
      </c>
      <c r="D53" s="24" t="s">
        <v>22</v>
      </c>
      <c r="E53" s="27" t="s">
        <v>72</v>
      </c>
      <c r="F53" s="28">
        <v>50000</v>
      </c>
      <c r="G53" s="25">
        <v>10.315</v>
      </c>
      <c r="H53" s="26">
        <f t="shared" si="4"/>
        <v>515.75</v>
      </c>
      <c r="J53" s="1" t="s">
        <v>132</v>
      </c>
      <c r="K53" s="1">
        <f t="shared" si="1"/>
        <v>1.0315E-2</v>
      </c>
    </row>
    <row r="54" spans="1:11" s="1" customFormat="1" ht="13.9" customHeight="1">
      <c r="A54" s="23">
        <v>43</v>
      </c>
      <c r="B54" s="79"/>
      <c r="C54" s="24" t="s">
        <v>26</v>
      </c>
      <c r="D54" s="24" t="s">
        <v>22</v>
      </c>
      <c r="E54" s="27" t="s">
        <v>73</v>
      </c>
      <c r="F54" s="28">
        <v>20000</v>
      </c>
      <c r="G54" s="25">
        <v>18.37</v>
      </c>
      <c r="H54" s="26">
        <f t="shared" si="4"/>
        <v>367.4</v>
      </c>
      <c r="J54" s="1" t="s">
        <v>133</v>
      </c>
      <c r="K54" s="1">
        <f t="shared" si="1"/>
        <v>1.8370000000000001E-2</v>
      </c>
    </row>
    <row r="55" spans="1:11" s="1" customFormat="1" ht="13.9" customHeight="1">
      <c r="A55" s="23">
        <v>44</v>
      </c>
      <c r="B55" s="79"/>
      <c r="C55" s="24" t="s">
        <v>26</v>
      </c>
      <c r="D55" s="24" t="s">
        <v>22</v>
      </c>
      <c r="E55" s="27" t="s">
        <v>74</v>
      </c>
      <c r="F55" s="28">
        <v>10000</v>
      </c>
      <c r="G55" s="25">
        <v>25.966999999999999</v>
      </c>
      <c r="H55" s="26">
        <f t="shared" si="4"/>
        <v>259.67</v>
      </c>
      <c r="J55" s="1" t="s">
        <v>134</v>
      </c>
      <c r="K55" s="1">
        <f t="shared" si="1"/>
        <v>2.5966999999999997E-2</v>
      </c>
    </row>
    <row r="56" spans="1:11" s="1" customFormat="1" ht="13.9" customHeight="1">
      <c r="A56" s="23">
        <v>45</v>
      </c>
      <c r="B56" s="79"/>
      <c r="C56" s="24" t="s">
        <v>26</v>
      </c>
      <c r="D56" s="24" t="s">
        <v>22</v>
      </c>
      <c r="E56" s="27" t="s">
        <v>75</v>
      </c>
      <c r="F56" s="28">
        <v>20000</v>
      </c>
      <c r="G56" s="25">
        <v>31.36</v>
      </c>
      <c r="H56" s="26">
        <f t="shared" si="4"/>
        <v>627.20000000000005</v>
      </c>
      <c r="J56" s="1" t="s">
        <v>135</v>
      </c>
      <c r="K56" s="1">
        <f t="shared" si="1"/>
        <v>3.1359999999999999E-2</v>
      </c>
    </row>
    <row r="57" spans="1:11" s="1" customFormat="1" ht="13.9" customHeight="1">
      <c r="A57" s="23">
        <v>46</v>
      </c>
      <c r="B57" s="79"/>
      <c r="C57" s="24" t="s">
        <v>26</v>
      </c>
      <c r="D57" s="24" t="s">
        <v>22</v>
      </c>
      <c r="E57" s="27" t="s">
        <v>59</v>
      </c>
      <c r="F57" s="28">
        <v>10000</v>
      </c>
      <c r="G57" s="25">
        <v>54.968000000000004</v>
      </c>
      <c r="H57" s="26">
        <f t="shared" si="4"/>
        <v>549.67999999999995</v>
      </c>
      <c r="J57" s="1" t="s">
        <v>136</v>
      </c>
      <c r="K57" s="1">
        <f t="shared" si="1"/>
        <v>5.4968000000000003E-2</v>
      </c>
    </row>
    <row r="58" spans="1:11" s="1" customFormat="1" ht="13.9" customHeight="1">
      <c r="A58" s="23">
        <v>47</v>
      </c>
      <c r="B58" s="79"/>
      <c r="C58" s="24" t="s">
        <v>26</v>
      </c>
      <c r="D58" s="24" t="s">
        <v>22</v>
      </c>
      <c r="E58" s="27" t="s">
        <v>76</v>
      </c>
      <c r="F58" s="28">
        <v>5000</v>
      </c>
      <c r="G58" s="25">
        <v>63.76</v>
      </c>
      <c r="H58" s="26">
        <f t="shared" si="4"/>
        <v>318.8</v>
      </c>
      <c r="J58" s="1" t="s">
        <v>137</v>
      </c>
      <c r="K58" s="1">
        <f t="shared" si="1"/>
        <v>6.3759999999999997E-2</v>
      </c>
    </row>
    <row r="59" spans="1:11" s="1" customFormat="1" ht="13.9" customHeight="1">
      <c r="A59" s="23">
        <v>48</v>
      </c>
      <c r="B59" s="79"/>
      <c r="C59" s="24" t="s">
        <v>26</v>
      </c>
      <c r="D59" s="24" t="s">
        <v>22</v>
      </c>
      <c r="E59" s="27" t="s">
        <v>33</v>
      </c>
      <c r="F59" s="28">
        <v>20000</v>
      </c>
      <c r="G59" s="25">
        <v>95</v>
      </c>
      <c r="H59" s="26">
        <f t="shared" si="4"/>
        <v>1900</v>
      </c>
      <c r="J59" s="1" t="s">
        <v>110</v>
      </c>
      <c r="K59" s="1">
        <f t="shared" si="1"/>
        <v>9.5000000000000001E-2</v>
      </c>
    </row>
    <row r="60" spans="1:11" s="1" customFormat="1" ht="13.9" customHeight="1">
      <c r="A60" s="23">
        <v>49</v>
      </c>
      <c r="B60" s="79"/>
      <c r="C60" s="24" t="s">
        <v>26</v>
      </c>
      <c r="D60" s="24" t="s">
        <v>22</v>
      </c>
      <c r="E60" s="27" t="s">
        <v>77</v>
      </c>
      <c r="F60" s="28">
        <v>1000</v>
      </c>
      <c r="G60" s="25">
        <v>105.782</v>
      </c>
      <c r="H60" s="26">
        <f t="shared" si="4"/>
        <v>105.782</v>
      </c>
      <c r="J60" s="1" t="s">
        <v>138</v>
      </c>
      <c r="K60" s="1">
        <f t="shared" si="1"/>
        <v>0.105782</v>
      </c>
    </row>
    <row r="61" spans="1:11" s="1" customFormat="1" ht="13.9" customHeight="1">
      <c r="A61" s="23">
        <v>50</v>
      </c>
      <c r="B61" s="79"/>
      <c r="C61" s="24" t="s">
        <v>26</v>
      </c>
      <c r="D61" s="24" t="s">
        <v>22</v>
      </c>
      <c r="E61" s="27" t="s">
        <v>78</v>
      </c>
      <c r="F61" s="28">
        <v>3000</v>
      </c>
      <c r="G61" s="25">
        <v>144.65299999999999</v>
      </c>
      <c r="H61" s="26">
        <f t="shared" si="4"/>
        <v>433.959</v>
      </c>
      <c r="J61" s="1" t="s">
        <v>139</v>
      </c>
      <c r="K61" s="1">
        <f t="shared" si="1"/>
        <v>0.144653</v>
      </c>
    </row>
    <row r="62" spans="1:11" s="1" customFormat="1" ht="13.9" customHeight="1">
      <c r="A62" s="23">
        <v>51</v>
      </c>
      <c r="B62" s="79"/>
      <c r="C62" s="24" t="s">
        <v>26</v>
      </c>
      <c r="D62" s="24" t="s">
        <v>22</v>
      </c>
      <c r="E62" s="27" t="s">
        <v>79</v>
      </c>
      <c r="F62" s="28">
        <v>500</v>
      </c>
      <c r="G62" s="25">
        <v>175.70500000000001</v>
      </c>
      <c r="H62" s="26">
        <f t="shared" si="4"/>
        <v>87.852500000000006</v>
      </c>
      <c r="J62" s="1" t="s">
        <v>140</v>
      </c>
      <c r="K62" s="1">
        <f t="shared" si="1"/>
        <v>0.175705</v>
      </c>
    </row>
    <row r="63" spans="1:11" s="1" customFormat="1" ht="13.9" customHeight="1">
      <c r="A63" s="23">
        <v>52</v>
      </c>
      <c r="B63" s="79"/>
      <c r="C63" s="24" t="s">
        <v>26</v>
      </c>
      <c r="D63" s="24" t="s">
        <v>22</v>
      </c>
      <c r="E63" s="27" t="s">
        <v>80</v>
      </c>
      <c r="F63" s="28">
        <v>200</v>
      </c>
      <c r="G63" s="25">
        <v>1130.4349999999999</v>
      </c>
      <c r="H63" s="26">
        <f t="shared" ref="H63:H70" si="5">G63*F63/1000</f>
        <v>226.08699999999999</v>
      </c>
      <c r="J63" s="1" t="s">
        <v>141</v>
      </c>
      <c r="K63" s="1">
        <f t="shared" si="1"/>
        <v>1.1304349999999999</v>
      </c>
    </row>
    <row r="64" spans="1:11" s="1" customFormat="1" ht="13.9" customHeight="1">
      <c r="A64" s="23">
        <v>53</v>
      </c>
      <c r="B64" s="79"/>
      <c r="C64" s="24" t="s">
        <v>70</v>
      </c>
      <c r="D64" s="24" t="s">
        <v>22</v>
      </c>
      <c r="E64" s="27" t="s">
        <v>81</v>
      </c>
      <c r="F64" s="28">
        <v>100000</v>
      </c>
      <c r="G64" s="25">
        <v>0.77600000000000002</v>
      </c>
      <c r="H64" s="26">
        <f t="shared" si="5"/>
        <v>77.599999999999994</v>
      </c>
      <c r="J64" s="1" t="s">
        <v>151</v>
      </c>
      <c r="K64" s="1">
        <f t="shared" si="1"/>
        <v>7.76E-4</v>
      </c>
    </row>
    <row r="65" spans="1:11" s="1" customFormat="1" ht="13.9" customHeight="1">
      <c r="A65" s="23">
        <v>54</v>
      </c>
      <c r="B65" s="79"/>
      <c r="C65" s="24" t="s">
        <v>70</v>
      </c>
      <c r="D65" s="24" t="s">
        <v>22</v>
      </c>
      <c r="E65" s="27" t="s">
        <v>82</v>
      </c>
      <c r="F65" s="28">
        <v>100000</v>
      </c>
      <c r="G65" s="25">
        <v>1.41</v>
      </c>
      <c r="H65" s="26">
        <f t="shared" si="5"/>
        <v>141</v>
      </c>
      <c r="J65" s="1" t="s">
        <v>149</v>
      </c>
      <c r="K65" s="1">
        <f t="shared" si="1"/>
        <v>1.41E-3</v>
      </c>
    </row>
    <row r="66" spans="1:11" s="1" customFormat="1" ht="13.9" customHeight="1">
      <c r="A66" s="23">
        <v>55</v>
      </c>
      <c r="B66" s="79"/>
      <c r="C66" s="24" t="s">
        <v>70</v>
      </c>
      <c r="D66" s="24" t="s">
        <v>22</v>
      </c>
      <c r="E66" s="27" t="s">
        <v>83</v>
      </c>
      <c r="F66" s="28">
        <v>50000</v>
      </c>
      <c r="G66" s="25">
        <v>3.242</v>
      </c>
      <c r="H66" s="26">
        <f t="shared" si="5"/>
        <v>162.1</v>
      </c>
      <c r="J66" s="1" t="s">
        <v>148</v>
      </c>
      <c r="K66" s="1">
        <f t="shared" si="1"/>
        <v>3.2420000000000001E-3</v>
      </c>
    </row>
    <row r="67" spans="1:11" s="1" customFormat="1" ht="13.9" customHeight="1">
      <c r="A67" s="23">
        <v>56</v>
      </c>
      <c r="B67" s="79"/>
      <c r="C67" s="24" t="s">
        <v>21</v>
      </c>
      <c r="D67" s="24" t="s">
        <v>22</v>
      </c>
      <c r="E67" s="27" t="s">
        <v>85</v>
      </c>
      <c r="F67" s="28">
        <v>20000</v>
      </c>
      <c r="G67" s="25">
        <v>5.7949999999999999</v>
      </c>
      <c r="H67" s="26">
        <f t="shared" si="5"/>
        <v>115.9</v>
      </c>
      <c r="J67" s="1" t="s">
        <v>142</v>
      </c>
      <c r="K67" s="1">
        <f t="shared" si="1"/>
        <v>5.7949999999999998E-3</v>
      </c>
    </row>
    <row r="68" spans="1:11" s="1" customFormat="1" ht="13.9" customHeight="1">
      <c r="A68" s="23">
        <v>57</v>
      </c>
      <c r="B68" s="79"/>
      <c r="C68" s="24" t="s">
        <v>21</v>
      </c>
      <c r="D68" s="24" t="s">
        <v>22</v>
      </c>
      <c r="E68" s="27" t="s">
        <v>87</v>
      </c>
      <c r="F68" s="28">
        <v>5000</v>
      </c>
      <c r="G68" s="25">
        <v>10.315</v>
      </c>
      <c r="H68" s="26">
        <f t="shared" si="5"/>
        <v>51.575000000000003</v>
      </c>
      <c r="J68" s="1" t="s">
        <v>143</v>
      </c>
      <c r="K68" s="1">
        <f t="shared" si="1"/>
        <v>1.0315E-2</v>
      </c>
    </row>
    <row r="69" spans="1:11" s="1" customFormat="1" ht="13.9" customHeight="1">
      <c r="A69" s="23">
        <v>58</v>
      </c>
      <c r="B69" s="79"/>
      <c r="C69" s="24" t="s">
        <v>26</v>
      </c>
      <c r="D69" s="24" t="s">
        <v>22</v>
      </c>
      <c r="E69" s="27" t="s">
        <v>86</v>
      </c>
      <c r="F69" s="28">
        <v>6000</v>
      </c>
      <c r="G69" s="25">
        <v>195.76400000000001</v>
      </c>
      <c r="H69" s="26">
        <f t="shared" si="5"/>
        <v>1174.5840000000001</v>
      </c>
      <c r="J69" s="1" t="s">
        <v>154</v>
      </c>
      <c r="K69" s="1">
        <f t="shared" si="1"/>
        <v>0.19576400000000002</v>
      </c>
    </row>
    <row r="70" spans="1:11" s="1" customFormat="1" ht="13.9" customHeight="1">
      <c r="A70" s="23">
        <v>59</v>
      </c>
      <c r="B70" s="79"/>
      <c r="C70" s="24" t="s">
        <v>34</v>
      </c>
      <c r="D70" s="24" t="s">
        <v>22</v>
      </c>
      <c r="E70" s="27" t="s">
        <v>88</v>
      </c>
      <c r="F70" s="28">
        <v>5000</v>
      </c>
      <c r="G70" s="25">
        <v>40.695999999999998</v>
      </c>
      <c r="H70" s="26">
        <f t="shared" si="5"/>
        <v>203.48</v>
      </c>
      <c r="J70" s="1" t="s">
        <v>144</v>
      </c>
      <c r="K70" s="1">
        <f t="shared" si="1"/>
        <v>4.0695999999999996E-2</v>
      </c>
    </row>
    <row r="71" spans="1:11" s="1" customFormat="1" ht="13.9" customHeight="1">
      <c r="A71" s="23">
        <v>60</v>
      </c>
      <c r="B71" s="79"/>
      <c r="C71" s="24" t="s">
        <v>34</v>
      </c>
      <c r="D71" s="24" t="s">
        <v>22</v>
      </c>
      <c r="E71" s="27" t="s">
        <v>89</v>
      </c>
      <c r="F71" s="28">
        <v>500000</v>
      </c>
      <c r="G71" s="25">
        <v>2.8969999999999998</v>
      </c>
      <c r="H71" s="26">
        <f t="shared" si="4"/>
        <v>1448.5</v>
      </c>
      <c r="J71" s="1" t="s">
        <v>155</v>
      </c>
      <c r="K71" s="1">
        <f t="shared" si="1"/>
        <v>2.8969999999999998E-3</v>
      </c>
    </row>
    <row r="72" spans="1:11" s="1" customFormat="1" ht="13.9" customHeight="1">
      <c r="A72" s="23">
        <v>61</v>
      </c>
      <c r="B72" s="79"/>
      <c r="C72" s="24" t="s">
        <v>34</v>
      </c>
      <c r="D72" s="24" t="s">
        <v>22</v>
      </c>
      <c r="E72" s="27" t="s">
        <v>90</v>
      </c>
      <c r="F72" s="28">
        <v>50000</v>
      </c>
      <c r="G72" s="25">
        <v>3.8149999999999999</v>
      </c>
      <c r="H72" s="26">
        <f t="shared" ref="H72:H74" si="6">G72*F72/1000</f>
        <v>190.75</v>
      </c>
      <c r="J72" s="1" t="s">
        <v>156</v>
      </c>
      <c r="K72" s="1">
        <f t="shared" si="1"/>
        <v>3.8149999999999998E-3</v>
      </c>
    </row>
    <row r="73" spans="1:11" s="1" customFormat="1" ht="13.9" customHeight="1">
      <c r="A73" s="23">
        <v>62</v>
      </c>
      <c r="B73" s="79"/>
      <c r="C73" s="24" t="s">
        <v>34</v>
      </c>
      <c r="D73" s="24" t="s">
        <v>22</v>
      </c>
      <c r="E73" s="27" t="s">
        <v>91</v>
      </c>
      <c r="F73" s="28">
        <v>20000</v>
      </c>
      <c r="G73" s="25">
        <v>13.19</v>
      </c>
      <c r="H73" s="26">
        <f t="shared" si="6"/>
        <v>263.8</v>
      </c>
      <c r="J73" s="1" t="s">
        <v>145</v>
      </c>
      <c r="K73" s="1">
        <f t="shared" si="1"/>
        <v>1.319E-2</v>
      </c>
    </row>
    <row r="74" spans="1:11" s="1" customFormat="1" ht="13.9" customHeight="1">
      <c r="A74" s="23">
        <v>63</v>
      </c>
      <c r="B74" s="79"/>
      <c r="C74" s="24" t="s">
        <v>34</v>
      </c>
      <c r="D74" s="24" t="s">
        <v>22</v>
      </c>
      <c r="E74" s="27" t="s">
        <v>66</v>
      </c>
      <c r="F74" s="28">
        <v>30000</v>
      </c>
      <c r="G74" s="25">
        <v>23.315000000000001</v>
      </c>
      <c r="H74" s="26">
        <f t="shared" si="6"/>
        <v>699.45</v>
      </c>
      <c r="J74" s="1" t="s">
        <v>126</v>
      </c>
      <c r="K74" s="1">
        <f t="shared" si="1"/>
        <v>2.3315000000000002E-2</v>
      </c>
    </row>
    <row r="75" spans="1:11" s="1" customFormat="1" ht="13.9" customHeight="1">
      <c r="A75" s="23">
        <v>64</v>
      </c>
      <c r="B75" s="79"/>
      <c r="C75" s="24" t="s">
        <v>34</v>
      </c>
      <c r="D75" s="24" t="s">
        <v>22</v>
      </c>
      <c r="E75" s="27" t="s">
        <v>75</v>
      </c>
      <c r="F75" s="28">
        <v>10000</v>
      </c>
      <c r="G75" s="25">
        <v>38.718000000000004</v>
      </c>
      <c r="H75" s="26">
        <f t="shared" si="4"/>
        <v>387.18000000000006</v>
      </c>
      <c r="J75" s="1" t="s">
        <v>157</v>
      </c>
      <c r="K75" s="1">
        <f t="shared" si="1"/>
        <v>3.8718000000000002E-2</v>
      </c>
    </row>
    <row r="76" spans="1:11" s="1" customFormat="1" ht="13.9" customHeight="1">
      <c r="A76" s="23">
        <v>65</v>
      </c>
      <c r="B76" s="79"/>
      <c r="C76" s="24" t="s">
        <v>34</v>
      </c>
      <c r="D76" s="24" t="s">
        <v>22</v>
      </c>
      <c r="E76" s="27" t="s">
        <v>92</v>
      </c>
      <c r="F76" s="28">
        <v>5000</v>
      </c>
      <c r="G76" s="25">
        <v>66.691000000000003</v>
      </c>
      <c r="H76" s="26">
        <f t="shared" si="4"/>
        <v>333.45499999999998</v>
      </c>
      <c r="J76" s="1" t="s">
        <v>146</v>
      </c>
      <c r="K76" s="1">
        <f t="shared" si="1"/>
        <v>6.6691E-2</v>
      </c>
    </row>
    <row r="77" spans="1:11" s="1" customFormat="1" ht="13.9" customHeight="1">
      <c r="A77" s="23">
        <v>66</v>
      </c>
      <c r="B77" s="79"/>
      <c r="C77" s="24" t="s">
        <v>26</v>
      </c>
      <c r="D77" s="24" t="s">
        <v>22</v>
      </c>
      <c r="E77" s="27" t="s">
        <v>71</v>
      </c>
      <c r="F77" s="28">
        <v>25000</v>
      </c>
      <c r="G77" s="25">
        <v>7.2869999999999999</v>
      </c>
      <c r="H77" s="26">
        <f t="shared" ref="H77" si="7">G77*F77/1000</f>
        <v>182.17500000000001</v>
      </c>
      <c r="J77" s="1" t="s">
        <v>131</v>
      </c>
      <c r="K77" s="1">
        <f t="shared" ref="K77:K78" si="8">G77/1000</f>
        <v>7.2870000000000001E-3</v>
      </c>
    </row>
    <row r="78" spans="1:11" s="1" customFormat="1" ht="13.9" customHeight="1">
      <c r="A78" s="23">
        <v>67</v>
      </c>
      <c r="B78" s="80"/>
      <c r="C78" s="24" t="s">
        <v>70</v>
      </c>
      <c r="D78" s="24" t="s">
        <v>22</v>
      </c>
      <c r="E78" s="27" t="s">
        <v>93</v>
      </c>
      <c r="F78" s="28">
        <v>100000</v>
      </c>
      <c r="G78" s="25">
        <v>1.0009999999999999</v>
      </c>
      <c r="H78" s="26">
        <f t="shared" si="4"/>
        <v>100.09999999999998</v>
      </c>
      <c r="J78" s="1" t="s">
        <v>147</v>
      </c>
      <c r="K78" s="1">
        <f t="shared" si="8"/>
        <v>1.0009999999999999E-3</v>
      </c>
    </row>
    <row r="79" spans="1:11" s="1" customFormat="1" ht="15.75">
      <c r="A79" s="75" t="s">
        <v>36</v>
      </c>
      <c r="B79" s="75"/>
      <c r="C79" s="29"/>
      <c r="D79" s="29"/>
      <c r="E79" s="30"/>
      <c r="F79" s="31">
        <f>SUM(F12:F78)</f>
        <v>1515450</v>
      </c>
      <c r="G79" s="32"/>
      <c r="H79" s="33">
        <f>SUM(H12:H78)</f>
        <v>23404.145578571424</v>
      </c>
    </row>
    <row r="80" spans="1:11" s="1" customFormat="1" ht="15.75">
      <c r="A80" s="34" t="s">
        <v>37</v>
      </c>
      <c r="B80" s="34"/>
      <c r="C80" s="35"/>
      <c r="D80" s="35"/>
      <c r="E80" s="35"/>
      <c r="F80" s="35"/>
      <c r="G80" s="35"/>
      <c r="H80" s="36"/>
    </row>
    <row r="81" spans="1:8" s="1" customFormat="1">
      <c r="A81" s="37">
        <v>1</v>
      </c>
      <c r="B81" s="38" t="s">
        <v>94</v>
      </c>
      <c r="C81" s="39"/>
      <c r="D81" s="39"/>
      <c r="E81" s="39"/>
      <c r="F81" s="39"/>
      <c r="G81" s="39"/>
      <c r="H81" s="40"/>
    </row>
    <row r="82" spans="1:8" s="1" customFormat="1">
      <c r="A82" s="41"/>
      <c r="B82" s="76" t="s">
        <v>63</v>
      </c>
      <c r="C82" s="76"/>
      <c r="D82" s="76"/>
      <c r="E82" s="76"/>
      <c r="F82" s="76"/>
      <c r="G82" s="76"/>
      <c r="H82" s="42"/>
    </row>
    <row r="83" spans="1:8" s="1" customFormat="1">
      <c r="A83" s="43"/>
      <c r="B83" s="76" t="s">
        <v>38</v>
      </c>
      <c r="C83" s="76"/>
      <c r="D83" s="76"/>
      <c r="E83" s="76"/>
      <c r="F83" s="76"/>
      <c r="G83" s="76"/>
      <c r="H83" s="40"/>
    </row>
    <row r="84" spans="1:8" s="1" customFormat="1" ht="15.75">
      <c r="A84" s="44"/>
      <c r="B84" s="45" t="s">
        <v>39</v>
      </c>
      <c r="C84" s="46"/>
      <c r="D84" s="46"/>
      <c r="E84" s="46"/>
      <c r="F84" s="46"/>
      <c r="G84" s="46"/>
      <c r="H84" s="47"/>
    </row>
    <row r="85" spans="1:8" s="1" customFormat="1" ht="7.9" customHeight="1" thickBot="1">
      <c r="A85" s="43"/>
      <c r="B85" s="30"/>
      <c r="C85" s="30"/>
      <c r="D85" s="30"/>
      <c r="E85" s="30"/>
      <c r="F85" s="30"/>
      <c r="G85" s="48"/>
      <c r="H85" s="5"/>
    </row>
    <row r="86" spans="1:8" s="1" customFormat="1" ht="13.15" customHeight="1">
      <c r="A86" s="49" t="s">
        <v>40</v>
      </c>
      <c r="B86" s="50"/>
      <c r="C86" s="50"/>
      <c r="D86" s="50"/>
      <c r="E86" s="50"/>
      <c r="F86" s="50"/>
      <c r="G86" s="50"/>
      <c r="H86" s="51"/>
    </row>
    <row r="87" spans="1:8" s="1" customFormat="1" ht="13.15" customHeight="1">
      <c r="A87" s="52" t="s">
        <v>41</v>
      </c>
      <c r="B87" s="53"/>
      <c r="C87" s="53"/>
      <c r="D87" s="53"/>
      <c r="E87" s="53"/>
      <c r="F87" s="53"/>
      <c r="G87" s="53"/>
      <c r="H87" s="54"/>
    </row>
    <row r="88" spans="1:8" s="1" customFormat="1" ht="13.15" customHeight="1">
      <c r="A88" s="52" t="s">
        <v>42</v>
      </c>
      <c r="B88" s="53"/>
      <c r="C88" s="53"/>
      <c r="D88" s="53"/>
      <c r="E88" s="53"/>
      <c r="F88" s="53"/>
      <c r="G88" s="53"/>
      <c r="H88" s="54"/>
    </row>
    <row r="89" spans="1:8" s="1" customFormat="1" ht="13.15" customHeight="1">
      <c r="A89" s="52" t="s">
        <v>43</v>
      </c>
      <c r="B89" s="53"/>
      <c r="C89" s="53"/>
      <c r="D89" s="53"/>
      <c r="E89" s="53"/>
      <c r="F89" s="53"/>
      <c r="G89" s="53"/>
      <c r="H89" s="54"/>
    </row>
    <row r="90" spans="1:8" s="1" customFormat="1" ht="13.15" customHeight="1">
      <c r="A90" s="52" t="s">
        <v>44</v>
      </c>
      <c r="B90" s="53"/>
      <c r="C90" s="53"/>
      <c r="D90" s="53"/>
      <c r="E90" s="53"/>
      <c r="F90" s="53"/>
      <c r="G90" s="53"/>
      <c r="H90" s="54"/>
    </row>
    <row r="91" spans="1:8" s="1" customFormat="1" ht="13.15" customHeight="1">
      <c r="A91" s="52" t="s">
        <v>45</v>
      </c>
      <c r="B91" s="53"/>
      <c r="C91" s="53"/>
      <c r="D91" s="53"/>
      <c r="E91" s="53"/>
      <c r="F91" s="53"/>
      <c r="G91" s="53"/>
      <c r="H91" s="54"/>
    </row>
    <row r="92" spans="1:8" s="1" customFormat="1" ht="13.15" customHeight="1" thickBot="1">
      <c r="A92" s="55" t="s">
        <v>46</v>
      </c>
      <c r="B92" s="56"/>
      <c r="C92" s="56"/>
      <c r="D92" s="56"/>
      <c r="E92" s="56"/>
      <c r="F92" s="56"/>
      <c r="G92" s="56"/>
      <c r="H92" s="57"/>
    </row>
    <row r="93" spans="1:8" s="1" customFormat="1" ht="15.75">
      <c r="A93" s="58" t="s">
        <v>47</v>
      </c>
      <c r="B93" s="58"/>
      <c r="C93" s="58"/>
      <c r="D93" s="58"/>
      <c r="E93" s="58"/>
      <c r="F93" s="77" t="s">
        <v>48</v>
      </c>
      <c r="G93" s="77"/>
      <c r="H93" s="13"/>
    </row>
  </sheetData>
  <mergeCells count="12">
    <mergeCell ref="A79:B79"/>
    <mergeCell ref="B82:G82"/>
    <mergeCell ref="B83:G83"/>
    <mergeCell ref="F93:G93"/>
    <mergeCell ref="B12:B42"/>
    <mergeCell ref="B43:B78"/>
    <mergeCell ref="A1:H1"/>
    <mergeCell ref="A2:H2"/>
    <mergeCell ref="A3:H3"/>
    <mergeCell ref="A5:H5"/>
    <mergeCell ref="B6:F6"/>
    <mergeCell ref="G6:H6"/>
  </mergeCells>
  <phoneticPr fontId="1" type="noConversion"/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DIS TICARET</cp:lastModifiedBy>
  <dcterms:created xsi:type="dcterms:W3CDTF">2015-06-05T18:19:34Z</dcterms:created>
  <dcterms:modified xsi:type="dcterms:W3CDTF">2026-01-19T08:57:37Z</dcterms:modified>
</cp:coreProperties>
</file>